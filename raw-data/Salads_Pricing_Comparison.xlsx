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Wooden Bakery 'Tuna Pasta' - $8.00 x 89,600 = 716,800 LBP. Source: user-provided pricing data, July 2026.</t>
        </r>
      </text>
    </comment>
    <comment ref="C8" authorId="0">
      <text>
        <r>
          <rPr>
            <sz val="10"/>
            <rFont val="Arial"/>
            <family val="2"/>
          </rPr>
          <t xml:space="preserve">Wooden Bakery 'Simply Caesar' (plain, no chicken) - $6.00 x 89,600 = 537,600 LBP. Source: user-provided pricing data, July 2026.</t>
        </r>
      </text>
    </comment>
    <comment ref="C9" authorId="0">
      <text>
        <r>
          <rPr>
            <sz val="10"/>
            <rFont val="Arial"/>
            <family val="2"/>
          </rPr>
          <t xml:space="preserve">Wooden Bakery 'Chicken Caesar Salad' - $9.00 x 89,600 = 806,400 LBP. Source: user-provided pricing data, July 2026.</t>
        </r>
      </text>
    </comment>
    <comment ref="C12" authorId="0">
      <text>
        <r>
          <rPr>
            <sz val="10"/>
            <rFont val="Arial"/>
            <family val="2"/>
          </rPr>
          <t xml:space="preserve">Wooden Bakery 'Pesto Chicken Twist' - $10.00 x 89,600 = 896,000 LBP. Approximate match: chicken-pesto pasta twist vs. Stories' plain pesto pasta salad - closest available comparable, flagged as a judgment call. Source: user-provided pricing data, July 2026.</t>
        </r>
      </text>
    </comment>
    <comment ref="C23" authorId="0">
      <text>
        <r>
          <rPr>
            <sz val="10"/>
            <rFont val="Arial"/>
            <family val="2"/>
          </rPr>
          <t xml:space="preserve">Wooden Bakery 'Crab Crunch' - $7.00 x 89,600 = 627,200 LBP. Source: user-provided pricing data, July 2026.</t>
        </r>
      </text>
    </comment>
    <comment ref="C28" authorId="0">
      <text>
        <r>
          <rPr>
            <sz val="10"/>
            <rFont val="Arial"/>
            <family val="2"/>
          </rPr>
          <t xml:space="preserve">Wooden Bakery 'Greek Orzo' - $7.50 x 89,600 = 672,000 LBP. Source: user-provided pricing data, July 2026.</t>
        </r>
      </text>
    </comment>
    <comment ref="C33" authorId="0">
      <text>
        <r>
          <rPr>
            <sz val="10"/>
            <rFont val="Arial"/>
            <family val="2"/>
          </rPr>
          <t xml:space="preserve">Wooden Bakery 'Kale Quinoa Chicken' - $10.00 x 89,600 = 896,000 LBP. Source: user-provided pricing data, July 2026.</t>
        </r>
      </text>
    </comment>
    <comment ref="C34" authorId="0">
      <text>
        <r>
          <rPr>
            <sz val="10"/>
            <rFont val="Arial"/>
            <family val="2"/>
          </rPr>
          <t xml:space="preserve">Wooden Bakery 'Kale Quinoa Halloumi' - $8.00 x 89,600 = 716,800 LBP. Source: user-provided pricing data, July 2026.</t>
        </r>
      </text>
    </comment>
    <comment ref="C43" authorId="0">
      <text>
        <r>
          <rPr>
            <sz val="10"/>
            <rFont val="Arial"/>
            <family val="2"/>
          </rPr>
          <t xml:space="preserve">Wooden Bakery 'The Protein Club' - $11.00 x 89,600 = 985,600 LBP. Source: user-provided pricing data, July 2026.</t>
        </r>
      </text>
    </comment>
    <comment ref="D7" authorId="0">
      <text>
        <r>
          <rPr>
            <sz val="10"/>
            <rFont val="Arial"/>
            <family val="2"/>
          </rPr>
          <t xml:space="preserve">Zaatar w Zeit 'Pasta Tuna' - $9.00 x 89,600 = 806,400 LBP. Source: user-provided pricing data, July 2026.</t>
        </r>
      </text>
    </comment>
    <comment ref="D8" authorId="0">
      <text>
        <r>
          <rPr>
            <sz val="10"/>
            <rFont val="Arial"/>
            <family val="2"/>
          </rPr>
          <t xml:space="preserve">Zaatar w Zeit 'Simply Caesar' (plain, no chicken) - $4.00 x 89,600 = 358,400 LBP. Source: user-provided pricing data, July 2026.</t>
        </r>
      </text>
    </comment>
    <comment ref="D9" authorId="0">
      <text>
        <r>
          <rPr>
            <sz val="10"/>
            <rFont val="Arial"/>
            <family val="2"/>
          </rPr>
          <t xml:space="preserve">Zaatar w Zeit 'Caesar Deluxe' - $7.00 x 89,600 = 627,200 LBP. Same price point as the prior 'Caesar Chicken' listing; treated as the chicken Caesar variant. Source: user-provided pricing data, July 2026.</t>
        </r>
      </text>
    </comment>
    <comment ref="D18" authorId="0">
      <text>
        <r>
          <rPr>
            <sz val="10"/>
            <rFont val="Arial"/>
            <family val="2"/>
          </rPr>
          <t xml:space="preserve">Zaatar w Zeit 'Balsamic Chicken' - $8.00 x 89,600 = 716,800 LBP. Source: user-provided pricing data, July 2026.</t>
        </r>
      </text>
    </comment>
    <comment ref="D20" authorId="0">
      <text>
        <r>
          <rPr>
            <sz val="10"/>
            <rFont val="Arial"/>
            <family val="2"/>
          </rPr>
          <t xml:space="preserve">Zaatar w Zeit 'Chicken Avocado' - $9.00 x 89,600 = 806,400 LBP. Source: user-provided pricing data, July 2026.</t>
        </r>
      </text>
    </comment>
    <comment ref="D21" authorId="0">
      <text>
        <r>
          <rPr>
            <sz val="10"/>
            <rFont val="Arial"/>
            <family val="2"/>
          </rPr>
          <t xml:space="preserve">Zaatar w Zeit 'Chicken Kale' - $8.00 x 89,600 = 716,800 LBP. Source: user-provided pricing data, July 2026.</t>
        </r>
      </text>
    </comment>
    <comment ref="D31" authorId="0">
      <text>
        <r>
          <rPr>
            <sz val="10"/>
            <rFont val="Arial"/>
            <family val="2"/>
          </rPr>
          <t xml:space="preserve">Zaatar w Zeit 'Halloumi Garden' - $8.00 x 89,600 = 716,800 LBP. Source: user-provided pricing data, July 2026.</t>
        </r>
      </text>
    </comment>
    <comment ref="D32" authorId="0">
      <text>
        <r>
          <rPr>
            <sz val="10"/>
            <rFont val="Arial"/>
            <family val="2"/>
          </rPr>
          <t xml:space="preserve">Zaatar w Zeit 'Kale &amp; Quinoa Feta' - $8.00 x 89,600 = 716,800 LBP. Source: user-provided pricing data, July 2026.</t>
        </r>
      </text>
    </comment>
    <comment ref="D35" authorId="0">
      <text>
        <r>
          <rPr>
            <sz val="10"/>
            <rFont val="Arial"/>
            <family val="2"/>
          </rPr>
          <t xml:space="preserve">Zaatar w Zeit 'Lebanese Oriental' - $5.00 x 89,600 = 448,000 LBP. Source: user-provided pricing data, July 2026.</t>
        </r>
      </text>
    </comment>
    <comment ref="D37" authorId="0">
      <text>
        <r>
          <rPr>
            <sz val="10"/>
            <rFont val="Arial"/>
            <family val="2"/>
          </rPr>
          <t xml:space="preserve">Zaatar w Zeit 'Pasta Chicken' - $9.00 x 89,600 = 806,400 LBP. Source: user-provided pricing data, July 2026.</t>
        </r>
      </text>
    </comment>
    <comment ref="D39" authorId="0">
      <text>
        <r>
          <rPr>
            <sz val="10"/>
            <rFont val="Arial"/>
            <family val="2"/>
          </rPr>
          <t xml:space="preserve">Zaatar w Zeit 'Quinoa Halloumi' - $8.00 x 89,600 = 716,800 LBP. Source: user-provided pricing data, July 2026.</t>
        </r>
      </text>
    </comment>
    <comment ref="D40" authorId="0">
      <text>
        <r>
          <rPr>
            <sz val="10"/>
            <rFont val="Arial"/>
            <family val="2"/>
          </rPr>
          <t xml:space="preserve">Zaatar w Zeit 'Quinoa Tabbouleh' - $5.00 x 89,600 = 448,000 LBP. Source: user-provided pricing data, July 2026.</t>
        </r>
      </text>
    </comment>
    <comment ref="D42" authorId="0">
      <text>
        <r>
          <rPr>
            <sz val="10"/>
            <rFont val="Arial"/>
            <family val="2"/>
          </rPr>
          <t xml:space="preserve">Zaatar w Zeit 'Shawarma Fusion' - $8.00 x 89,600 = 716,800 LBP. Source: user-provided pricing data, July 2026.</t>
        </r>
      </text>
    </comment>
    <comment ref="D45" authorId="0">
      <text>
        <r>
          <rPr>
            <sz val="10"/>
            <rFont val="Arial"/>
            <family val="2"/>
          </rPr>
          <t xml:space="preserve">Zaatar w Zeit 'Z Fattoush' - $5.00 x 89,600 = 448,000 LBP. Source: user-provided pricing data, July 2026.</t>
        </r>
      </text>
    </comment>
    <comment ref="D46" authorId="0">
      <text>
        <r>
          <rPr>
            <sz val="10"/>
            <rFont val="Arial"/>
            <family val="2"/>
          </rPr>
          <t xml:space="preserve">Zaatar w Zeit 'Zooza' - $9.00 x 89,600 = 806,400 LBP. Source: user-provided pricing data, July 2026.</t>
        </r>
      </text>
    </comment>
    <comment ref="E8" authorId="0">
      <text>
        <r>
          <rPr>
            <sz val="10"/>
            <rFont val="Arial"/>
            <family val="2"/>
          </rPr>
          <t xml:space="preserve">Casper &amp; Gambini 'Classic Caesar' - $8.00 x 89,600 = 716,800 LBP. Source: user-provided pricing data, July 2026.</t>
        </r>
      </text>
    </comment>
    <comment ref="E11" authorId="0">
      <text>
        <r>
          <rPr>
            <sz val="10"/>
            <rFont val="Arial"/>
            <family val="2"/>
          </rPr>
          <t xml:space="preserve">Casper &amp; Gambini 'Mexican' - $9.00 x 89,600 = 806,400 LBP. Source: user-provided pricing data, July 2026.</t>
        </r>
      </text>
    </comment>
    <comment ref="E16" authorId="0">
      <text>
        <r>
          <rPr>
            <sz val="10"/>
            <rFont val="Arial"/>
            <family val="2"/>
          </rPr>
          <t xml:space="preserve">Casper &amp; Gambini 'Asian Bowl' - $9.50 x 89,600 = 851,200 LBP. Source: user-provided pricing data, July 2026.</t>
        </r>
      </text>
    </comment>
    <comment ref="E17" authorId="0">
      <text>
        <r>
          <rPr>
            <sz val="10"/>
            <rFont val="Arial"/>
            <family val="2"/>
          </rPr>
          <t xml:space="preserve">Casper &amp; Gambini 'Asian Sesame Chicken' - $10.50 x 89,600 = 940,800 LBP. Source: user-provided pricing data, July 2026.</t>
        </r>
      </text>
    </comment>
    <comment ref="E25" authorId="0">
      <text>
        <r>
          <rPr>
            <sz val="10"/>
            <rFont val="Arial"/>
            <family val="2"/>
          </rPr>
          <t xml:space="preserve">Casper &amp; Gambini 'Garden' - $8.50 x 89,600 = 761,600 LBP. Source: user-provided pricing data, July 2026.</t>
        </r>
      </text>
    </comment>
    <comment ref="E27" authorId="0">
      <text>
        <r>
          <rPr>
            <sz val="10"/>
            <rFont val="Arial"/>
            <family val="2"/>
          </rPr>
          <t xml:space="preserve">Casper &amp; Gambini 'Goat Cheese Salad' - $9.50 x 89,600 = 851,200 LBP. Source: user-provided pricing data, July 2026.</t>
        </r>
      </text>
    </comment>
    <comment ref="E30" authorId="0">
      <text>
        <r>
          <rPr>
            <sz val="10"/>
            <rFont val="Arial"/>
            <family val="2"/>
          </rPr>
          <t xml:space="preserve">Casper &amp; Gambini 'Grilled Fresh Salmon' - $12.00 x 89,600 = 1,075,200 LBP. Source: user-provided pricing data, July 2026.</t>
        </r>
      </text>
    </comment>
    <comment ref="E36" authorId="0">
      <text>
        <r>
          <rPr>
            <sz val="10"/>
            <rFont val="Arial"/>
            <family val="2"/>
          </rPr>
          <t xml:space="preserve">Casper &amp; Gambini 'Light Crab' - $10.00 x 89,600 = 896,000 LBP. Source: user-provided pricing data, July 2026.</t>
        </r>
      </text>
    </comment>
    <comment ref="E38" authorId="0">
      <text>
        <r>
          <rPr>
            <sz val="10"/>
            <rFont val="Arial"/>
            <family val="2"/>
          </rPr>
          <t xml:space="preserve">Casper &amp; Gambini 'Quinoa &amp; Kale' - $10.00 x 89,600 = 896,000 LBP. Kept separate from Stories' plain Quinoa Salad (Grab&amp;Go): the kale addition is an explicitly labeled variant, consistent with how every other 'Quinoa + [ingredient]' item in this study has been treated as a distinct composed dish rather than a direct equivalent. Source: user-provided pricing data, July 2026.</t>
        </r>
      </text>
    </comment>
    <comment ref="E44" authorId="0">
      <text>
        <r>
          <rPr>
            <sz val="10"/>
            <rFont val="Arial"/>
            <family val="2"/>
          </rPr>
          <t xml:space="preserve">Casper &amp; Gambini 'Tuna Potato' - $9.50 x 89,600 = 851,200 LBP. Despite pricing almost identical to Stories' Tuna Pasta Salad (850,000 LBP), the base ingredient differs - potato, not pasta - so kept separate rather than matched. Source: user-provided pricing data, July 2026.</t>
        </r>
      </text>
    </comment>
    <comment ref="F5" authorId="0">
      <text>
        <r>
          <rPr>
            <sz val="10"/>
            <rFont val="Arial"/>
            <family val="2"/>
          </rPr>
          <t xml:space="preserve">The Koozspace 'Greek Salad' - $10.00 x 89,600 = 896,000 LBP. Source: user-provided pricing data, July 2026.</t>
        </r>
      </text>
    </comment>
    <comment ref="F7" authorId="0">
      <text>
        <r>
          <rPr>
            <sz val="10"/>
            <rFont val="Arial"/>
            <family val="2"/>
          </rPr>
          <t xml:space="preserve">The Koozspace 'Pasta Tuna Salad' - $12.00 x 89,600 = 1,075,200 LBP. Source: user-provided pricing data, July 2026.</t>
        </r>
      </text>
    </comment>
    <comment ref="F9" authorId="0">
      <text>
        <r>
          <rPr>
            <sz val="10"/>
            <rFont val="Arial"/>
            <family val="2"/>
          </rPr>
          <t xml:space="preserve">The Koozspace 'Chicken Caesar Salad' - $11.00 x 89,600 = 985,600 LBP. Source: user-provided pricing data, July 2026.</t>
        </r>
      </text>
    </comment>
    <comment ref="F19" authorId="0">
      <text>
        <r>
          <rPr>
            <sz val="10"/>
            <rFont val="Arial"/>
            <family val="2"/>
          </rPr>
          <t xml:space="preserve">The Koozspace 'Chef Salad' - $12.00 x 89,600 = 1,075,200 LBP. Source: user-provided pricing data, July 2026.</t>
        </r>
      </text>
    </comment>
    <comment ref="F22" authorId="0">
      <text>
        <r>
          <rPr>
            <sz val="10"/>
            <rFont val="Arial"/>
            <family val="2"/>
          </rPr>
          <t xml:space="preserve">The Koozspace 'Chicken Kale Salad' - $13.00 x 89,600 = 1,164,800 LBP. Source: user-provided pricing data, July 2026.</t>
        </r>
      </text>
    </comment>
    <comment ref="F24" authorId="0">
      <text>
        <r>
          <rPr>
            <sz val="10"/>
            <rFont val="Arial"/>
            <family val="2"/>
          </rPr>
          <t xml:space="preserve">The Koozspace 'Crab Salad' - $9.00 x 89,600 = 806,400 LBP. Source: user-provided pricing data, July 2026.</t>
        </r>
      </text>
    </comment>
    <comment ref="F26" authorId="0">
      <text>
        <r>
          <rPr>
            <sz val="10"/>
            <rFont val="Arial"/>
            <family val="2"/>
          </rPr>
          <t xml:space="preserve">The Koozspace 'Goat Cheese Kale Salad' - $15.00 x 89,600 = 1,344,000 LBP. Source: user-provided pricing data, July 2026.</t>
        </r>
      </text>
    </comment>
    <comment ref="F29" authorId="0">
      <text>
        <r>
          <rPr>
            <sz val="10"/>
            <rFont val="Arial"/>
            <family val="2"/>
          </rPr>
          <t xml:space="preserve">The Koozspace 'Green Salad' - $7.00 x 89,600 = 627,200 LBP. Source: user-provided pricing data, July 2026.</t>
        </r>
      </text>
    </comment>
    <comment ref="F41" authorId="0">
      <text>
        <r>
          <rPr>
            <sz val="10"/>
            <rFont val="Arial"/>
            <family val="2"/>
          </rPr>
          <t xml:space="preserve">The Koozspace 'Rocca Salad' - $8.00 x 89,600 = 716,800 LBP. Source: user-provided pricing data, July 2026.</t>
        </r>
      </text>
    </comment>
  </commentList>
</comments>
</file>

<file path=xl/sharedStrings.xml><?xml version="1.0" encoding="utf-8"?>
<sst xmlns="http://schemas.openxmlformats.org/spreadsheetml/2006/main" count="203" uniqueCount="52">
  <si>
    <t xml:space="preserve">Products Competitors</t>
  </si>
  <si>
    <t xml:space="preserve">Stories</t>
  </si>
  <si>
    <t xml:space="preserve">Wooden Bakery</t>
  </si>
  <si>
    <t xml:space="preserve">Zaatar w Zeit</t>
  </si>
  <si>
    <t xml:space="preserve">Casper &amp; Gambini</t>
  </si>
  <si>
    <t xml:space="preserve">The Koozspace</t>
  </si>
  <si>
    <t xml:space="preserve">Average</t>
  </si>
  <si>
    <t xml:space="preserve">Difference</t>
  </si>
  <si>
    <t xml:space="preserve">SALADS</t>
  </si>
  <si>
    <t xml:space="preserve">SALAD BAR 1 VISIT</t>
  </si>
  <si>
    <t xml:space="preserve">-</t>
  </si>
  <si>
    <t xml:space="preserve">ASIAN SALAD (GRAB&amp;GO)</t>
  </si>
  <si>
    <t xml:space="preserve">GREEK SALAD (GRAB&amp;GO)</t>
  </si>
  <si>
    <t xml:space="preserve">QUINOA SALAD (GRAB&amp;GO)</t>
  </si>
  <si>
    <t xml:space="preserve">TUNA PASTA SALAD (GRAB&amp;GO)</t>
  </si>
  <si>
    <t xml:space="preserve">CAESAR SALAD (GRAB&amp;GO)</t>
  </si>
  <si>
    <t xml:space="preserve">CHICKEN CAESAR SALAD (GRAB&amp;GO)</t>
  </si>
  <si>
    <t xml:space="preserve">CHICKEN VERDE SALAD (GRAB&amp;GO)</t>
  </si>
  <si>
    <t xml:space="preserve">MEXICAN FIESTA SALAD (GRAB&amp;GO)</t>
  </si>
  <si>
    <t xml:space="preserve">PASTA PESTO SALAD (GRAB&amp;GO)</t>
  </si>
  <si>
    <t xml:space="preserve">COMPETITOR ITEMS NOT ON STORIES MENU (gap analysis - Stories left blank)</t>
  </si>
  <si>
    <t xml:space="preserve">ASIAN BOWL</t>
  </si>
  <si>
    <t xml:space="preserve">ASIAN SESAME CHICKEN</t>
  </si>
  <si>
    <t xml:space="preserve">BALSAMIC CHICKEN</t>
  </si>
  <si>
    <t xml:space="preserve">CHEF SALAD</t>
  </si>
  <si>
    <t xml:space="preserve">CHICKEN AVOCADO</t>
  </si>
  <si>
    <t xml:space="preserve">CHICKEN KALE</t>
  </si>
  <si>
    <t xml:space="preserve">CHICKEN KALE SALAD</t>
  </si>
  <si>
    <t xml:space="preserve">CRAB CRUNCH</t>
  </si>
  <si>
    <t xml:space="preserve">CRAB SALAD</t>
  </si>
  <si>
    <t xml:space="preserve">GARDEN</t>
  </si>
  <si>
    <t xml:space="preserve">GOAT CHEESE KALE SALAD</t>
  </si>
  <si>
    <t xml:space="preserve">GOAT CHEESE SALAD</t>
  </si>
  <si>
    <t xml:space="preserve">GREEK ORZO</t>
  </si>
  <si>
    <t xml:space="preserve">GREEN SALAD</t>
  </si>
  <si>
    <t xml:space="preserve">GRILLED FRESH SALMON</t>
  </si>
  <si>
    <t xml:space="preserve">HALLOUMI GARDEN</t>
  </si>
  <si>
    <t xml:space="preserve">KALE &amp; QUINOA FETA</t>
  </si>
  <si>
    <t xml:space="preserve">KALE QUINOA CHICKEN</t>
  </si>
  <si>
    <t xml:space="preserve">KALE QUINOA HALLOUMI</t>
  </si>
  <si>
    <t xml:space="preserve">LEBANESE ORIENTAL</t>
  </si>
  <si>
    <t xml:space="preserve">LIGHT CRAB</t>
  </si>
  <si>
    <t xml:space="preserve">PASTA CHICKEN</t>
  </si>
  <si>
    <t xml:space="preserve">QUINOA &amp; KALE</t>
  </si>
  <si>
    <t xml:space="preserve">QUINOA HALLOUMI</t>
  </si>
  <si>
    <t xml:space="preserve">QUINOA TABBOULEH</t>
  </si>
  <si>
    <t xml:space="preserve">ROCCA SALAD</t>
  </si>
  <si>
    <t xml:space="preserve">SHAWARMA FUSION</t>
  </si>
  <si>
    <t xml:space="preserve">THE PROTEIN CLUB</t>
  </si>
  <si>
    <t xml:space="preserve">TUNA POTATO</t>
  </si>
  <si>
    <t xml:space="preserve">Z FATTOUSH</t>
  </si>
  <si>
    <t xml:space="preserve">ZOOZA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</si>
</sst>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6" activeCellId="0" sqref="C16"/>
    </sheetView>
  </sheetViews>
  <sheetFormatPr defaultColWidth="8.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1"/>
    <col collapsed="false" customWidth="true" hidden="false" outlineLevel="0" max="6" min="3" style="1" width="16"/>
    <col collapsed="false" customWidth="true" hidden="false" outlineLevel="0" max="7" min="7" style="1" width="11"/>
    <col collapsed="false" customWidth="true" hidden="false" outlineLevel="0" max="8" min="8" style="1" width="1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22.5" hidden="false" customHeight="true" outlineLevel="0" collapsed="false">
      <c r="A2" s="3" t="s">
        <v>8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9</v>
      </c>
      <c r="B3" s="5" t="n">
        <v>1200000</v>
      </c>
      <c r="C3" s="4" t="s">
        <v>10</v>
      </c>
      <c r="D3" s="4" t="s">
        <v>10</v>
      </c>
      <c r="E3" s="4" t="s">
        <v>10</v>
      </c>
      <c r="F3" s="4" t="s">
        <v>10</v>
      </c>
      <c r="G3" s="5" t="n">
        <f aca="false">AVERAGE(B3:F3)</f>
        <v>1200000</v>
      </c>
      <c r="H3" s="5" t="n">
        <f aca="false">IF(ISNUMBER(B3),B3-G3,"-")</f>
        <v>0</v>
      </c>
    </row>
    <row r="4" customFormat="false" ht="15" hidden="false" customHeight="true" outlineLevel="0" collapsed="false">
      <c r="A4" s="4" t="s">
        <v>11</v>
      </c>
      <c r="B4" s="5" t="n">
        <v>750000</v>
      </c>
      <c r="C4" s="4" t="s">
        <v>10</v>
      </c>
      <c r="D4" s="4" t="s">
        <v>10</v>
      </c>
      <c r="E4" s="4" t="s">
        <v>10</v>
      </c>
      <c r="F4" s="4" t="s">
        <v>10</v>
      </c>
      <c r="G4" s="5" t="n">
        <f aca="false">AVERAGE(B4:F4)</f>
        <v>750000</v>
      </c>
      <c r="H4" s="5" t="n">
        <f aca="false">IF(ISNUMBER(B4),B4-G4,"-")</f>
        <v>0</v>
      </c>
    </row>
    <row r="5" customFormat="false" ht="15" hidden="false" customHeight="true" outlineLevel="0" collapsed="false">
      <c r="A5" s="4" t="s">
        <v>12</v>
      </c>
      <c r="B5" s="5" t="n">
        <v>750000</v>
      </c>
      <c r="C5" s="4" t="s">
        <v>10</v>
      </c>
      <c r="D5" s="4" t="s">
        <v>10</v>
      </c>
      <c r="E5" s="4" t="s">
        <v>10</v>
      </c>
      <c r="F5" s="5" t="n">
        <v>896000</v>
      </c>
      <c r="G5" s="5" t="n">
        <f aca="false">AVERAGE(B5:F5)</f>
        <v>823000</v>
      </c>
      <c r="H5" s="5" t="n">
        <f aca="false">IF(ISNUMBER(B5),B5-G5,"-")</f>
        <v>-73000</v>
      </c>
    </row>
    <row r="6" customFormat="false" ht="15" hidden="false" customHeight="true" outlineLevel="0" collapsed="false">
      <c r="A6" s="4" t="s">
        <v>13</v>
      </c>
      <c r="B6" s="5" t="n">
        <v>800000</v>
      </c>
      <c r="C6" s="4" t="s">
        <v>10</v>
      </c>
      <c r="D6" s="4" t="s">
        <v>10</v>
      </c>
      <c r="E6" s="4" t="s">
        <v>10</v>
      </c>
      <c r="F6" s="4" t="s">
        <v>10</v>
      </c>
      <c r="G6" s="5" t="n">
        <f aca="false">AVERAGE(B6:F6)</f>
        <v>800000</v>
      </c>
      <c r="H6" s="5" t="n">
        <f aca="false">IF(ISNUMBER(B6),B6-G6,"-")</f>
        <v>0</v>
      </c>
    </row>
    <row r="7" customFormat="false" ht="15" hidden="false" customHeight="true" outlineLevel="0" collapsed="false">
      <c r="A7" s="4" t="s">
        <v>14</v>
      </c>
      <c r="B7" s="5" t="n">
        <v>850000</v>
      </c>
      <c r="C7" s="5" t="n">
        <v>716800</v>
      </c>
      <c r="D7" s="5" t="n">
        <v>806400</v>
      </c>
      <c r="E7" s="4" t="s">
        <v>10</v>
      </c>
      <c r="F7" s="5" t="n">
        <v>1075200</v>
      </c>
      <c r="G7" s="5" t="n">
        <f aca="false">AVERAGE(B7:F7)</f>
        <v>862100</v>
      </c>
      <c r="H7" s="5" t="n">
        <f aca="false">IF(ISNUMBER(B7),B7-G7,"-")</f>
        <v>-12100</v>
      </c>
    </row>
    <row r="8" customFormat="false" ht="15" hidden="false" customHeight="true" outlineLevel="0" collapsed="false">
      <c r="A8" s="4" t="s">
        <v>15</v>
      </c>
      <c r="B8" s="5" t="n">
        <v>750000</v>
      </c>
      <c r="C8" s="5" t="n">
        <v>537600</v>
      </c>
      <c r="D8" s="5" t="n">
        <v>358400</v>
      </c>
      <c r="E8" s="5" t="n">
        <v>716800</v>
      </c>
      <c r="F8" s="4" t="s">
        <v>10</v>
      </c>
      <c r="G8" s="5" t="n">
        <f aca="false">AVERAGE(B8:F8)</f>
        <v>590700</v>
      </c>
      <c r="H8" s="5" t="n">
        <f aca="false">IF(ISNUMBER(B8),B8-G8,"-")</f>
        <v>159300</v>
      </c>
    </row>
    <row r="9" customFormat="false" ht="15" hidden="false" customHeight="true" outlineLevel="0" collapsed="false">
      <c r="A9" s="4" t="s">
        <v>16</v>
      </c>
      <c r="B9" s="6" t="n">
        <v>900000</v>
      </c>
      <c r="C9" s="5" t="n">
        <v>806400</v>
      </c>
      <c r="D9" s="5" t="n">
        <v>627200</v>
      </c>
      <c r="E9" s="4" t="s">
        <v>10</v>
      </c>
      <c r="F9" s="5" t="n">
        <v>985600</v>
      </c>
      <c r="G9" s="5" t="n">
        <f aca="false">AVERAGE(B9:F9)</f>
        <v>829800</v>
      </c>
      <c r="H9" s="5" t="n">
        <f aca="false">IF(ISNUMBER(B9),B9-G9,"-")</f>
        <v>70200</v>
      </c>
    </row>
    <row r="10" customFormat="false" ht="15" hidden="false" customHeight="true" outlineLevel="0" collapsed="false">
      <c r="A10" s="1" t="s">
        <v>17</v>
      </c>
      <c r="B10" s="6" t="n">
        <v>850000</v>
      </c>
      <c r="C10" s="4" t="s">
        <v>10</v>
      </c>
      <c r="D10" s="4" t="s">
        <v>10</v>
      </c>
      <c r="E10" s="4" t="s">
        <v>10</v>
      </c>
      <c r="F10" s="4" t="s">
        <v>10</v>
      </c>
      <c r="G10" s="5" t="n">
        <f aca="false">AVERAGE(B10:F10)</f>
        <v>850000</v>
      </c>
      <c r="H10" s="5" t="n">
        <f aca="false">IF(ISNUMBER(B10),B10-G10,"-")</f>
        <v>0</v>
      </c>
    </row>
    <row r="11" customFormat="false" ht="15" hidden="false" customHeight="true" outlineLevel="0" collapsed="false">
      <c r="A11" s="1" t="s">
        <v>18</v>
      </c>
      <c r="B11" s="6" t="n">
        <v>900000</v>
      </c>
      <c r="C11" s="4" t="s">
        <v>10</v>
      </c>
      <c r="D11" s="4" t="s">
        <v>10</v>
      </c>
      <c r="E11" s="5" t="n">
        <v>806400</v>
      </c>
      <c r="F11" s="4" t="s">
        <v>10</v>
      </c>
      <c r="G11" s="5" t="n">
        <f aca="false">AVERAGE(B11:F11)</f>
        <v>853200</v>
      </c>
      <c r="H11" s="5" t="n">
        <f aca="false">IF(ISNUMBER(B11),B11-G11,"-")</f>
        <v>46800</v>
      </c>
    </row>
    <row r="12" customFormat="false" ht="15" hidden="false" customHeight="true" outlineLevel="0" collapsed="false">
      <c r="A12" s="1" t="s">
        <v>19</v>
      </c>
      <c r="B12" s="6" t="n">
        <v>900000</v>
      </c>
      <c r="C12" s="5" t="n">
        <v>896000</v>
      </c>
      <c r="D12" s="4" t="s">
        <v>10</v>
      </c>
      <c r="E12" s="4" t="s">
        <v>10</v>
      </c>
      <c r="F12" s="4" t="s">
        <v>10</v>
      </c>
      <c r="G12" s="5" t="n">
        <f aca="false">AVERAGE(B12:F12)</f>
        <v>898000</v>
      </c>
      <c r="H12" s="5" t="n">
        <f aca="false">IF(ISNUMBER(B12),B12-G12,"-")</f>
        <v>2000</v>
      </c>
    </row>
    <row r="13" customFormat="false" ht="15" hidden="false" customHeight="true" outlineLevel="0" collapsed="false">
      <c r="B13" s="7"/>
      <c r="C13" s="4"/>
      <c r="D13" s="4"/>
      <c r="E13" s="4"/>
      <c r="F13" s="4"/>
      <c r="G13" s="4"/>
      <c r="H13" s="4"/>
    </row>
    <row r="14" customFormat="false" ht="22.5" hidden="false" customHeight="true" outlineLevel="0" collapsed="false">
      <c r="A14" s="3" t="s">
        <v>20</v>
      </c>
      <c r="B14" s="3"/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C15" s="4"/>
      <c r="D15" s="4"/>
      <c r="E15" s="4"/>
      <c r="F15" s="4"/>
      <c r="G15" s="4"/>
      <c r="H15" s="4"/>
    </row>
    <row r="16" customFormat="false" ht="15" hidden="false" customHeight="true" outlineLevel="0" collapsed="false">
      <c r="A16" s="1" t="s">
        <v>21</v>
      </c>
      <c r="B16" s="1" t="s">
        <v>10</v>
      </c>
      <c r="C16" s="4" t="s">
        <v>10</v>
      </c>
      <c r="D16" s="4" t="s">
        <v>10</v>
      </c>
      <c r="E16" s="5" t="n">
        <v>851200</v>
      </c>
      <c r="F16" s="4" t="s">
        <v>10</v>
      </c>
      <c r="G16" s="5" t="n">
        <f aca="false">AVERAGE(B16:F16)</f>
        <v>851200</v>
      </c>
      <c r="H16" s="5" t="str">
        <f aca="false">IF(ISNUMBER(B16),B16-G16,"-")</f>
        <v>-</v>
      </c>
    </row>
    <row r="17" customFormat="false" ht="15" hidden="false" customHeight="true" outlineLevel="0" collapsed="false">
      <c r="A17" s="1" t="s">
        <v>22</v>
      </c>
      <c r="B17" s="1" t="s">
        <v>10</v>
      </c>
      <c r="C17" s="4" t="s">
        <v>10</v>
      </c>
      <c r="D17" s="4" t="s">
        <v>10</v>
      </c>
      <c r="E17" s="5" t="n">
        <v>940800</v>
      </c>
      <c r="F17" s="4" t="s">
        <v>10</v>
      </c>
      <c r="G17" s="5" t="n">
        <f aca="false">AVERAGE(B17:F17)</f>
        <v>940800</v>
      </c>
      <c r="H17" s="5" t="str">
        <f aca="false">IF(ISNUMBER(B17),B17-G17,"-")</f>
        <v>-</v>
      </c>
    </row>
    <row r="18" customFormat="false" ht="15" hidden="false" customHeight="true" outlineLevel="0" collapsed="false">
      <c r="A18" s="1" t="s">
        <v>23</v>
      </c>
      <c r="B18" s="1" t="s">
        <v>10</v>
      </c>
      <c r="C18" s="4" t="s">
        <v>10</v>
      </c>
      <c r="D18" s="5" t="n">
        <v>716800</v>
      </c>
      <c r="E18" s="4" t="s">
        <v>10</v>
      </c>
      <c r="F18" s="4" t="s">
        <v>10</v>
      </c>
      <c r="G18" s="5" t="n">
        <f aca="false">AVERAGE(B18:F18)</f>
        <v>716800</v>
      </c>
      <c r="H18" s="5" t="str">
        <f aca="false">IF(ISNUMBER(B18),B18-G18,"-")</f>
        <v>-</v>
      </c>
    </row>
    <row r="19" customFormat="false" ht="15" hidden="false" customHeight="true" outlineLevel="0" collapsed="false">
      <c r="A19" s="1" t="s">
        <v>24</v>
      </c>
      <c r="B19" s="8" t="s">
        <v>10</v>
      </c>
      <c r="C19" s="4" t="s">
        <v>10</v>
      </c>
      <c r="D19" s="4" t="s">
        <v>10</v>
      </c>
      <c r="E19" s="4" t="s">
        <v>10</v>
      </c>
      <c r="F19" s="5" t="n">
        <v>1075200</v>
      </c>
      <c r="G19" s="5" t="n">
        <f aca="false">AVERAGE(B19:F19)</f>
        <v>1075200</v>
      </c>
      <c r="H19" s="5" t="str">
        <f aca="false">IF(ISNUMBER(B19),B19-G19,"-")</f>
        <v>-</v>
      </c>
    </row>
    <row r="20" customFormat="false" ht="15" hidden="false" customHeight="true" outlineLevel="0" collapsed="false">
      <c r="A20" s="1" t="s">
        <v>25</v>
      </c>
      <c r="B20" s="8" t="s">
        <v>10</v>
      </c>
      <c r="C20" s="4" t="s">
        <v>10</v>
      </c>
      <c r="D20" s="5" t="n">
        <v>806400</v>
      </c>
      <c r="E20" s="4" t="s">
        <v>10</v>
      </c>
      <c r="F20" s="4" t="s">
        <v>10</v>
      </c>
      <c r="G20" s="5" t="n">
        <f aca="false">AVERAGE(B20:F20)</f>
        <v>806400</v>
      </c>
      <c r="H20" s="5" t="str">
        <f aca="false">IF(ISNUMBER(B20),B20-G20,"-")</f>
        <v>-</v>
      </c>
    </row>
    <row r="21" customFormat="false" ht="15" hidden="false" customHeight="true" outlineLevel="0" collapsed="false">
      <c r="A21" s="1" t="s">
        <v>26</v>
      </c>
      <c r="B21" s="1" t="s">
        <v>10</v>
      </c>
      <c r="C21" s="1" t="s">
        <v>10</v>
      </c>
      <c r="D21" s="9" t="n">
        <v>716800</v>
      </c>
      <c r="E21" s="1" t="s">
        <v>10</v>
      </c>
      <c r="F21" s="1" t="s">
        <v>10</v>
      </c>
      <c r="G21" s="9" t="n">
        <f aca="false">AVERAGE(B21:F21)</f>
        <v>716800</v>
      </c>
      <c r="H21" s="9" t="str">
        <f aca="false">IF(ISNUMBER(B21),B21-G21,"-")</f>
        <v>-</v>
      </c>
    </row>
    <row r="22" customFormat="false" ht="15" hidden="false" customHeight="true" outlineLevel="0" collapsed="false">
      <c r="A22" s="2" t="s">
        <v>27</v>
      </c>
      <c r="B22" s="1" t="s">
        <v>10</v>
      </c>
      <c r="C22" s="1" t="s">
        <v>10</v>
      </c>
      <c r="D22" s="1" t="s">
        <v>10</v>
      </c>
      <c r="E22" s="1" t="s">
        <v>10</v>
      </c>
      <c r="F22" s="9" t="n">
        <v>1164800</v>
      </c>
      <c r="G22" s="9" t="n">
        <f aca="false">AVERAGE(B22:F22)</f>
        <v>1164800</v>
      </c>
      <c r="H22" s="9" t="str">
        <f aca="false">IF(ISNUMBER(B22),B22-G22,"-")</f>
        <v>-</v>
      </c>
    </row>
    <row r="23" customFormat="false" ht="15" hidden="false" customHeight="true" outlineLevel="0" collapsed="false">
      <c r="A23" s="1" t="s">
        <v>28</v>
      </c>
      <c r="B23" s="1" t="s">
        <v>10</v>
      </c>
      <c r="C23" s="10" t="n">
        <v>627200</v>
      </c>
      <c r="D23" s="1" t="s">
        <v>10</v>
      </c>
      <c r="E23" s="1" t="s">
        <v>10</v>
      </c>
      <c r="F23" s="1" t="s">
        <v>10</v>
      </c>
      <c r="G23" s="10" t="n">
        <f aca="false">AVERAGE(B23:F23)</f>
        <v>627200</v>
      </c>
      <c r="H23" s="10" t="str">
        <f aca="false">IF(ISNUMBER(B23),B23-G23,"-")</f>
        <v>-</v>
      </c>
    </row>
    <row r="24" customFormat="false" ht="15" hidden="false" customHeight="true" outlineLevel="0" collapsed="false">
      <c r="A24" s="4" t="s">
        <v>29</v>
      </c>
      <c r="B24" s="4" t="s">
        <v>10</v>
      </c>
      <c r="C24" s="4" t="s">
        <v>10</v>
      </c>
      <c r="D24" s="4" t="s">
        <v>10</v>
      </c>
      <c r="E24" s="4" t="s">
        <v>10</v>
      </c>
      <c r="F24" s="5" t="n">
        <v>806400</v>
      </c>
      <c r="G24" s="5" t="n">
        <f aca="false">AVERAGE(B24:F24)</f>
        <v>806400</v>
      </c>
      <c r="H24" s="5" t="str">
        <f aca="false">IF(ISNUMBER(B24),B24-G24,"-")</f>
        <v>-</v>
      </c>
    </row>
    <row r="25" customFormat="false" ht="15" hidden="false" customHeight="true" outlineLevel="0" collapsed="false">
      <c r="A25" s="1" t="s">
        <v>30</v>
      </c>
      <c r="B25" s="1" t="s">
        <v>10</v>
      </c>
      <c r="C25" s="1" t="s">
        <v>10</v>
      </c>
      <c r="D25" s="1" t="s">
        <v>10</v>
      </c>
      <c r="E25" s="10" t="n">
        <v>761600</v>
      </c>
      <c r="F25" s="1" t="s">
        <v>10</v>
      </c>
      <c r="G25" s="10" t="n">
        <f aca="false">AVERAGE(B25:F25)</f>
        <v>761600</v>
      </c>
      <c r="H25" s="10" t="str">
        <f aca="false">IF(ISNUMBER(B25),B25-G25,"-")</f>
        <v>-</v>
      </c>
    </row>
    <row r="26" customFormat="false" ht="15" hidden="false" customHeight="true" outlineLevel="0" collapsed="false">
      <c r="A26" s="4" t="s">
        <v>31</v>
      </c>
      <c r="B26" s="4" t="s">
        <v>10</v>
      </c>
      <c r="C26" s="4" t="s">
        <v>10</v>
      </c>
      <c r="D26" s="4" t="s">
        <v>10</v>
      </c>
      <c r="E26" s="4" t="s">
        <v>10</v>
      </c>
      <c r="F26" s="5" t="n">
        <v>1344000</v>
      </c>
      <c r="G26" s="5" t="n">
        <f aca="false">AVERAGE(B26:F26)</f>
        <v>1344000</v>
      </c>
      <c r="H26" s="5" t="str">
        <f aca="false">IF(ISNUMBER(B26),B26-G26,"-")</f>
        <v>-</v>
      </c>
    </row>
    <row r="27" customFormat="false" ht="15" hidden="false" customHeight="true" outlineLevel="0" collapsed="false">
      <c r="A27" s="4" t="s">
        <v>32</v>
      </c>
      <c r="B27" s="4" t="s">
        <v>10</v>
      </c>
      <c r="C27" s="4" t="s">
        <v>10</v>
      </c>
      <c r="D27" s="4" t="s">
        <v>10</v>
      </c>
      <c r="E27" s="5" t="n">
        <v>851200</v>
      </c>
      <c r="F27" s="4" t="s">
        <v>10</v>
      </c>
      <c r="G27" s="5" t="n">
        <f aca="false">AVERAGE(B27:F27)</f>
        <v>851200</v>
      </c>
      <c r="H27" s="5" t="str">
        <f aca="false">IF(ISNUMBER(B27),B27-G27,"-")</f>
        <v>-</v>
      </c>
    </row>
    <row r="28" customFormat="false" ht="15" hidden="false" customHeight="true" outlineLevel="0" collapsed="false">
      <c r="A28" s="4" t="s">
        <v>33</v>
      </c>
      <c r="B28" s="4" t="s">
        <v>10</v>
      </c>
      <c r="C28" s="5" t="n">
        <v>672000</v>
      </c>
      <c r="D28" s="4" t="s">
        <v>10</v>
      </c>
      <c r="E28" s="4" t="s">
        <v>10</v>
      </c>
      <c r="F28" s="4" t="s">
        <v>10</v>
      </c>
      <c r="G28" s="5" t="n">
        <f aca="false">AVERAGE(B28:F28)</f>
        <v>672000</v>
      </c>
      <c r="H28" s="5" t="str">
        <f aca="false">IF(ISNUMBER(B28),B28-G28,"-")</f>
        <v>-</v>
      </c>
    </row>
    <row r="29" customFormat="false" ht="15" hidden="false" customHeight="true" outlineLevel="0" collapsed="false">
      <c r="A29" s="4" t="s">
        <v>34</v>
      </c>
      <c r="B29" s="4" t="s">
        <v>10</v>
      </c>
      <c r="C29" s="4" t="s">
        <v>10</v>
      </c>
      <c r="D29" s="4" t="s">
        <v>10</v>
      </c>
      <c r="E29" s="4" t="s">
        <v>10</v>
      </c>
      <c r="F29" s="5" t="n">
        <v>627200</v>
      </c>
      <c r="G29" s="5" t="n">
        <f aca="false">AVERAGE(B29:F29)</f>
        <v>627200</v>
      </c>
      <c r="H29" s="5" t="str">
        <f aca="false">IF(ISNUMBER(B29),B29-G29,"-")</f>
        <v>-</v>
      </c>
    </row>
    <row r="30" customFormat="false" ht="15" hidden="false" customHeight="true" outlineLevel="0" collapsed="false">
      <c r="A30" s="4" t="s">
        <v>35</v>
      </c>
      <c r="B30" s="4" t="s">
        <v>10</v>
      </c>
      <c r="C30" s="4" t="s">
        <v>10</v>
      </c>
      <c r="D30" s="4" t="s">
        <v>10</v>
      </c>
      <c r="E30" s="5" t="n">
        <v>1075200</v>
      </c>
      <c r="F30" s="4" t="s">
        <v>10</v>
      </c>
      <c r="G30" s="5" t="n">
        <f aca="false">AVERAGE(B30:F30)</f>
        <v>1075200</v>
      </c>
      <c r="H30" s="5" t="str">
        <f aca="false">IF(ISNUMBER(B30),B30-G30,"-")</f>
        <v>-</v>
      </c>
    </row>
    <row r="31" customFormat="false" ht="15" hidden="false" customHeight="true" outlineLevel="0" collapsed="false">
      <c r="A31" s="4" t="s">
        <v>36</v>
      </c>
      <c r="B31" s="4" t="s">
        <v>10</v>
      </c>
      <c r="C31" s="4" t="s">
        <v>10</v>
      </c>
      <c r="D31" s="5" t="n">
        <v>716800</v>
      </c>
      <c r="E31" s="4" t="s">
        <v>10</v>
      </c>
      <c r="F31" s="4" t="s">
        <v>10</v>
      </c>
      <c r="G31" s="5" t="n">
        <f aca="false">AVERAGE(B31:F31)</f>
        <v>716800</v>
      </c>
      <c r="H31" s="5" t="str">
        <f aca="false">IF(ISNUMBER(B31),B31-G31,"-")</f>
        <v>-</v>
      </c>
    </row>
    <row r="32" customFormat="false" ht="15" hidden="false" customHeight="true" outlineLevel="0" collapsed="false">
      <c r="A32" s="4" t="s">
        <v>37</v>
      </c>
      <c r="B32" s="4" t="s">
        <v>10</v>
      </c>
      <c r="C32" s="4" t="s">
        <v>10</v>
      </c>
      <c r="D32" s="5" t="n">
        <v>716800</v>
      </c>
      <c r="E32" s="4" t="s">
        <v>10</v>
      </c>
      <c r="F32" s="4" t="s">
        <v>10</v>
      </c>
      <c r="G32" s="5" t="n">
        <f aca="false">AVERAGE(B32:F32)</f>
        <v>716800</v>
      </c>
      <c r="H32" s="5" t="str">
        <f aca="false">IF(ISNUMBER(B32),B32-G32,"-")</f>
        <v>-</v>
      </c>
    </row>
    <row r="33" customFormat="false" ht="15" hidden="false" customHeight="true" outlineLevel="0" collapsed="false">
      <c r="A33" s="4" t="s">
        <v>38</v>
      </c>
      <c r="B33" s="4" t="s">
        <v>10</v>
      </c>
      <c r="C33" s="5" t="n">
        <v>896000</v>
      </c>
      <c r="D33" s="4" t="s">
        <v>10</v>
      </c>
      <c r="E33" s="4" t="s">
        <v>10</v>
      </c>
      <c r="F33" s="4" t="s">
        <v>10</v>
      </c>
      <c r="G33" s="5" t="n">
        <f aca="false">AVERAGE(B33:F33)</f>
        <v>896000</v>
      </c>
      <c r="H33" s="5" t="str">
        <f aca="false">IF(ISNUMBER(B33),B33-G33,"-")</f>
        <v>-</v>
      </c>
    </row>
    <row r="34" customFormat="false" ht="15" hidden="false" customHeight="true" outlineLevel="0" collapsed="false">
      <c r="A34" s="4" t="s">
        <v>39</v>
      </c>
      <c r="B34" s="4" t="s">
        <v>10</v>
      </c>
      <c r="C34" s="5" t="n">
        <v>716800</v>
      </c>
      <c r="D34" s="4" t="s">
        <v>10</v>
      </c>
      <c r="E34" s="4" t="s">
        <v>10</v>
      </c>
      <c r="F34" s="4" t="s">
        <v>10</v>
      </c>
      <c r="G34" s="5" t="n">
        <f aca="false">AVERAGE(B34:F34)</f>
        <v>716800</v>
      </c>
      <c r="H34" s="5" t="str">
        <f aca="false">IF(ISNUMBER(B34),B34-G34,"-")</f>
        <v>-</v>
      </c>
    </row>
    <row r="35" customFormat="false" ht="15" hidden="false" customHeight="true" outlineLevel="0" collapsed="false">
      <c r="A35" s="4" t="s">
        <v>40</v>
      </c>
      <c r="B35" s="4" t="s">
        <v>10</v>
      </c>
      <c r="C35" s="4" t="s">
        <v>10</v>
      </c>
      <c r="D35" s="5" t="n">
        <v>448000</v>
      </c>
      <c r="E35" s="4" t="s">
        <v>10</v>
      </c>
      <c r="F35" s="4" t="s">
        <v>10</v>
      </c>
      <c r="G35" s="5" t="n">
        <f aca="false">AVERAGE(B35:F35)</f>
        <v>448000</v>
      </c>
      <c r="H35" s="5" t="str">
        <f aca="false">IF(ISNUMBER(B35),B35-G35,"-")</f>
        <v>-</v>
      </c>
    </row>
    <row r="36" customFormat="false" ht="15" hidden="false" customHeight="true" outlineLevel="0" collapsed="false">
      <c r="A36" s="4" t="s">
        <v>41</v>
      </c>
      <c r="B36" s="4" t="s">
        <v>10</v>
      </c>
      <c r="C36" s="4" t="s">
        <v>10</v>
      </c>
      <c r="D36" s="4" t="s">
        <v>10</v>
      </c>
      <c r="E36" s="5" t="n">
        <v>896000</v>
      </c>
      <c r="F36" s="4" t="s">
        <v>10</v>
      </c>
      <c r="G36" s="5" t="n">
        <f aca="false">AVERAGE(B36:F36)</f>
        <v>896000</v>
      </c>
      <c r="H36" s="5" t="str">
        <f aca="false">IF(ISNUMBER(B36),B36-G36,"-")</f>
        <v>-</v>
      </c>
    </row>
    <row r="37" customFormat="false" ht="15" hidden="false" customHeight="true" outlineLevel="0" collapsed="false">
      <c r="A37" s="4" t="s">
        <v>42</v>
      </c>
      <c r="B37" s="4" t="s">
        <v>10</v>
      </c>
      <c r="C37" s="4" t="s">
        <v>10</v>
      </c>
      <c r="D37" s="5" t="n">
        <v>806400</v>
      </c>
      <c r="E37" s="4" t="s">
        <v>10</v>
      </c>
      <c r="F37" s="4" t="s">
        <v>10</v>
      </c>
      <c r="G37" s="5" t="n">
        <f aca="false">AVERAGE(B37:F37)</f>
        <v>806400</v>
      </c>
      <c r="H37" s="5" t="str">
        <f aca="false">IF(ISNUMBER(B37),B37-G37,"-")</f>
        <v>-</v>
      </c>
    </row>
    <row r="38" customFormat="false" ht="15" hidden="false" customHeight="true" outlineLevel="0" collapsed="false">
      <c r="A38" s="4" t="s">
        <v>43</v>
      </c>
      <c r="B38" s="4" t="s">
        <v>10</v>
      </c>
      <c r="C38" s="4" t="s">
        <v>10</v>
      </c>
      <c r="D38" s="4" t="s">
        <v>10</v>
      </c>
      <c r="E38" s="5" t="n">
        <v>896000</v>
      </c>
      <c r="F38" s="4" t="s">
        <v>10</v>
      </c>
      <c r="G38" s="5" t="n">
        <f aca="false">AVERAGE(B38:F38)</f>
        <v>896000</v>
      </c>
      <c r="H38" s="5" t="str">
        <f aca="false">IF(ISNUMBER(B38),B38-G38,"-")</f>
        <v>-</v>
      </c>
    </row>
    <row r="39" customFormat="false" ht="15" hidden="false" customHeight="true" outlineLevel="0" collapsed="false">
      <c r="A39" s="4" t="s">
        <v>44</v>
      </c>
      <c r="B39" s="4" t="s">
        <v>10</v>
      </c>
      <c r="C39" s="4" t="s">
        <v>10</v>
      </c>
      <c r="D39" s="5" t="n">
        <v>716800</v>
      </c>
      <c r="E39" s="4" t="s">
        <v>10</v>
      </c>
      <c r="F39" s="4" t="s">
        <v>10</v>
      </c>
      <c r="G39" s="5" t="n">
        <f aca="false">AVERAGE(B39:F39)</f>
        <v>716800</v>
      </c>
      <c r="H39" s="5" t="str">
        <f aca="false">IF(ISNUMBER(B39),B39-G39,"-")</f>
        <v>-</v>
      </c>
    </row>
    <row r="40" customFormat="false" ht="15" hidden="false" customHeight="true" outlineLevel="0" collapsed="false">
      <c r="A40" s="4" t="s">
        <v>45</v>
      </c>
      <c r="B40" s="4" t="s">
        <v>10</v>
      </c>
      <c r="C40" s="4" t="s">
        <v>10</v>
      </c>
      <c r="D40" s="5" t="n">
        <v>448000</v>
      </c>
      <c r="E40" s="4" t="s">
        <v>10</v>
      </c>
      <c r="F40" s="4" t="s">
        <v>10</v>
      </c>
      <c r="G40" s="5" t="n">
        <f aca="false">AVERAGE(B40:F40)</f>
        <v>448000</v>
      </c>
      <c r="H40" s="5" t="str">
        <f aca="false">IF(ISNUMBER(B40),B40-G40,"-")</f>
        <v>-</v>
      </c>
    </row>
    <row r="41" customFormat="false" ht="15" hidden="false" customHeight="true" outlineLevel="0" collapsed="false">
      <c r="A41" s="4" t="s">
        <v>46</v>
      </c>
      <c r="B41" s="4" t="s">
        <v>10</v>
      </c>
      <c r="C41" s="4" t="s">
        <v>10</v>
      </c>
      <c r="D41" s="4" t="s">
        <v>10</v>
      </c>
      <c r="E41" s="4" t="s">
        <v>10</v>
      </c>
      <c r="F41" s="5" t="n">
        <v>716800</v>
      </c>
      <c r="G41" s="5" t="n">
        <f aca="false">AVERAGE(B41:F41)</f>
        <v>716800</v>
      </c>
      <c r="H41" s="5" t="str">
        <f aca="false">IF(ISNUMBER(B41),B41-G41,"-")</f>
        <v>-</v>
      </c>
    </row>
    <row r="42" customFormat="false" ht="15" hidden="false" customHeight="true" outlineLevel="0" collapsed="false">
      <c r="A42" s="4" t="s">
        <v>47</v>
      </c>
      <c r="B42" s="4" t="s">
        <v>10</v>
      </c>
      <c r="C42" s="4" t="s">
        <v>10</v>
      </c>
      <c r="D42" s="5" t="n">
        <v>716800</v>
      </c>
      <c r="E42" s="4" t="s">
        <v>10</v>
      </c>
      <c r="F42" s="4" t="s">
        <v>10</v>
      </c>
      <c r="G42" s="5" t="n">
        <f aca="false">AVERAGE(B42:F42)</f>
        <v>716800</v>
      </c>
      <c r="H42" s="5" t="str">
        <f aca="false">IF(ISNUMBER(B42),B42-G42,"-")</f>
        <v>-</v>
      </c>
    </row>
    <row r="43" customFormat="false" ht="15" hidden="false" customHeight="true" outlineLevel="0" collapsed="false">
      <c r="A43" s="4" t="s">
        <v>48</v>
      </c>
      <c r="B43" s="4" t="s">
        <v>10</v>
      </c>
      <c r="C43" s="5" t="n">
        <v>985600</v>
      </c>
      <c r="D43" s="4" t="s">
        <v>10</v>
      </c>
      <c r="E43" s="4" t="s">
        <v>10</v>
      </c>
      <c r="F43" s="4" t="s">
        <v>10</v>
      </c>
      <c r="G43" s="5" t="n">
        <f aca="false">AVERAGE(B43:F43)</f>
        <v>985600</v>
      </c>
      <c r="H43" s="5" t="str">
        <f aca="false">IF(ISNUMBER(B43),B43-G43,"-")</f>
        <v>-</v>
      </c>
    </row>
    <row r="44" customFormat="false" ht="15" hidden="false" customHeight="true" outlineLevel="0" collapsed="false">
      <c r="A44" s="4" t="s">
        <v>49</v>
      </c>
      <c r="B44" s="4" t="s">
        <v>10</v>
      </c>
      <c r="C44" s="4" t="s">
        <v>10</v>
      </c>
      <c r="D44" s="4" t="s">
        <v>10</v>
      </c>
      <c r="E44" s="5" t="n">
        <v>851200</v>
      </c>
      <c r="F44" s="4" t="s">
        <v>10</v>
      </c>
      <c r="G44" s="5" t="n">
        <f aca="false">AVERAGE(B44:F44)</f>
        <v>851200</v>
      </c>
      <c r="H44" s="5" t="str">
        <f aca="false">IF(ISNUMBER(B44),B44-G44,"-")</f>
        <v>-</v>
      </c>
    </row>
    <row r="45" customFormat="false" ht="15" hidden="false" customHeight="true" outlineLevel="0" collapsed="false">
      <c r="A45" s="4" t="s">
        <v>50</v>
      </c>
      <c r="B45" s="4" t="s">
        <v>10</v>
      </c>
      <c r="C45" s="4" t="s">
        <v>10</v>
      </c>
      <c r="D45" s="5" t="n">
        <v>448000</v>
      </c>
      <c r="E45" s="4" t="s">
        <v>10</v>
      </c>
      <c r="F45" s="4" t="s">
        <v>10</v>
      </c>
      <c r="G45" s="5" t="n">
        <f aca="false">AVERAGE(B45:F45)</f>
        <v>448000</v>
      </c>
      <c r="H45" s="5" t="str">
        <f aca="false">IF(ISNUMBER(B45),B45-G45,"-")</f>
        <v>-</v>
      </c>
    </row>
    <row r="46" customFormat="false" ht="15" hidden="false" customHeight="true" outlineLevel="0" collapsed="false">
      <c r="A46" s="4" t="s">
        <v>51</v>
      </c>
      <c r="B46" s="4" t="s">
        <v>10</v>
      </c>
      <c r="C46" s="4" t="s">
        <v>10</v>
      </c>
      <c r="D46" s="5" t="n">
        <v>806400</v>
      </c>
      <c r="E46" s="4" t="s">
        <v>10</v>
      </c>
      <c r="F46" s="4" t="s">
        <v>10</v>
      </c>
      <c r="G46" s="5" t="n">
        <f aca="false">AVERAGE(B46:F46)</f>
        <v>806400</v>
      </c>
      <c r="H46" s="5" t="str">
        <f aca="false">IF(ISNUMBER(B46),B46-G46,"-")</f>
        <v>-</v>
      </c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</row>
  </sheetData>
  <mergeCells count="2">
    <mergeCell ref="A2:H2"/>
    <mergeCell ref="A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2026-07-22T01:02:01Z</dcterms:created>
  <dc:creator>openpyxl</dc:creator>
  <dc:description/>
  <dc:language>en-US</dc:language>
  <cp:lastModifiedBy/>
  <dcterms:modified xsi:type="dcterms:W3CDTF">2026-07-22T02:18:02Z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