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fferent\Downloads\"/>
    </mc:Choice>
  </mc:AlternateContent>
  <xr:revisionPtr revIDLastSave="0" documentId="13_ncr:1_{94936898-1341-4C1A-97DA-CAFE86570F8A}" xr6:coauthVersionLast="47" xr6:coauthVersionMax="47" xr10:uidLastSave="{00000000-0000-0000-0000-000000000000}"/>
  <bookViews>
    <workbookView minimized="1" xWindow="6440" yWindow="4790" windowWidth="19200" windowHeight="11170" xr2:uid="{00000000-000D-0000-FFFF-FFFF00000000}"/>
  </bookViews>
  <sheets>
    <sheet name="Price Comparison" sheetId="1" r:id="rId1"/>
    <sheet name="Bakery Insigh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F13" i="1"/>
  <c r="E13" i="1"/>
  <c r="D13" i="1"/>
  <c r="C13" i="1"/>
  <c r="I12" i="1"/>
  <c r="H12" i="1"/>
  <c r="G12" i="1"/>
  <c r="J12" i="1" s="1"/>
  <c r="I11" i="1"/>
  <c r="H11" i="1"/>
  <c r="G11" i="1"/>
  <c r="J11" i="1" s="1"/>
  <c r="I10" i="1"/>
  <c r="H10" i="1"/>
  <c r="G10" i="1"/>
  <c r="J10" i="1" s="1"/>
  <c r="I9" i="1"/>
  <c r="H9" i="1"/>
  <c r="G9" i="1"/>
  <c r="J9" i="1" s="1"/>
  <c r="I8" i="1"/>
  <c r="H8" i="1"/>
  <c r="G8" i="1"/>
  <c r="J8" i="1" s="1"/>
  <c r="I7" i="1"/>
  <c r="H7" i="1"/>
  <c r="G7" i="1"/>
  <c r="J7" i="1" s="1"/>
  <c r="I6" i="1"/>
  <c r="H6" i="1"/>
  <c r="G6" i="1"/>
  <c r="J6" i="1" s="1"/>
  <c r="I5" i="1"/>
  <c r="I13" i="1" s="1"/>
  <c r="H5" i="1"/>
  <c r="H13" i="1" s="1"/>
  <c r="G5" i="1"/>
  <c r="G13" i="1" l="1"/>
  <c r="J5" i="1"/>
</calcChain>
</file>

<file path=xl/sharedStrings.xml><?xml version="1.0" encoding="utf-8"?>
<sst xmlns="http://schemas.openxmlformats.org/spreadsheetml/2006/main" count="49" uniqueCount="37">
  <si>
    <t>SANDWICH PRICE COMPARISON REPORT</t>
  </si>
  <si>
    <t>Date: 20 July 2026 | Currency: Lebanese Pound (LBP)</t>
  </si>
  <si>
    <t>Item</t>
  </si>
  <si>
    <t>Bread Type</t>
  </si>
  <si>
    <t>Pain d'Or (LBP)</t>
  </si>
  <si>
    <t>Fakhani (LBP)</t>
  </si>
  <si>
    <t>Stories (LBP)</t>
  </si>
  <si>
    <t>Wooden Bakery (LBP)</t>
  </si>
  <si>
    <t>Min Price</t>
  </si>
  <si>
    <t>Max Price</t>
  </si>
  <si>
    <t>Average Price</t>
  </si>
  <si>
    <t>Lowest Bakery</t>
  </si>
  <si>
    <t>Turkey &amp; Cheese</t>
  </si>
  <si>
    <t>White</t>
  </si>
  <si>
    <t>Whole Wheat</t>
  </si>
  <si>
    <t>Halloum</t>
  </si>
  <si>
    <t>Tuna</t>
  </si>
  <si>
    <t>Labneh</t>
  </si>
  <si>
    <t>All Sandwich Types</t>
  </si>
  <si>
    <t>Fakhani</t>
  </si>
  <si>
    <t>BAKERY PRICE SUMMARY &amp; ANALYSIS</t>
  </si>
  <si>
    <t>Bakery</t>
  </si>
  <si>
    <t>Average Price (LBP)</t>
  </si>
  <si>
    <t>Cheapest Item</t>
  </si>
  <si>
    <t>Most Expensive Item</t>
  </si>
  <si>
    <t>Price Rank</t>
  </si>
  <si>
    <t>Pain d'Or</t>
  </si>
  <si>
    <t>Labneh (White) - 356,000</t>
  </si>
  <si>
    <t>Turkey &amp; Cheese (Wheat) - 725,000</t>
  </si>
  <si>
    <t>Labneh (Both) - 200,000</t>
  </si>
  <si>
    <t>Turkey &amp; Cheese (Both) - 480,000</t>
  </si>
  <si>
    <t>Stories</t>
  </si>
  <si>
    <t>Labneh (White) - 500,000</t>
  </si>
  <si>
    <t>Turkey &amp; Cheese (Wheat) - 700,000</t>
  </si>
  <si>
    <t>Wooden Bakery</t>
  </si>
  <si>
    <t>Labneh (White) - 340,000</t>
  </si>
  <si>
    <t>Tuna (Wheat) - 695,000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</si>
</sst>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D9E1F2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335C8D"/>
        <bgColor rgb="FF335C8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  <fill>
      <patternFill patternType="solid">
        <fgColor rgb="FFE9EFF5"/>
        <bgColor rgb="FFE9EF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20" sqref="E20"/>
    </sheetView>
  </sheetViews>
  <sheetFormatPr defaultRowHeight="14.5" x14ac:dyDescent="0.35"/>
  <cols>
    <col min="1" max="1" width="18" customWidth="1"/>
    <col min="2" max="2" width="15" customWidth="1"/>
    <col min="3" max="5" width="20" customWidth="1"/>
    <col min="6" max="6" width="23" customWidth="1"/>
    <col min="7" max="8" width="20" customWidth="1"/>
    <col min="9" max="9" width="21" customWidth="1"/>
    <col min="10" max="10" width="22" customWidth="1"/>
  </cols>
  <sheetData>
    <row r="1" spans="1:10" ht="25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24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0" customHeight="1" x14ac:dyDescent="0.35">
      <c r="A5" s="2" t="s">
        <v>12</v>
      </c>
      <c r="B5" s="3" t="s">
        <v>13</v>
      </c>
      <c r="C5" s="4">
        <v>712000</v>
      </c>
      <c r="D5" s="4">
        <v>480000</v>
      </c>
      <c r="E5" s="4">
        <v>650000</v>
      </c>
      <c r="F5" s="4">
        <v>605000</v>
      </c>
      <c r="G5" s="5">
        <f t="shared" ref="G5:G12" si="0">MIN(C5:F5)</f>
        <v>480000</v>
      </c>
      <c r="H5" s="4">
        <f t="shared" ref="H5:H12" si="1">MAX(C5:F5)</f>
        <v>712000</v>
      </c>
      <c r="I5" s="4">
        <f t="shared" ref="I5:I12" si="2">AVERAGE(C5:F5)</f>
        <v>611750</v>
      </c>
      <c r="J5" s="6" t="str">
        <f t="shared" ref="J5:J12" si="3">INDEX($C$4:$F$4, 1, MATCH(G5, C5:F5, 0))</f>
        <v>Fakhani (LBP)</v>
      </c>
    </row>
    <row r="6" spans="1:10" ht="20" customHeight="1" x14ac:dyDescent="0.35">
      <c r="A6" s="7" t="s">
        <v>12</v>
      </c>
      <c r="B6" s="8" t="s">
        <v>14</v>
      </c>
      <c r="C6" s="9">
        <v>725000</v>
      </c>
      <c r="D6" s="9">
        <v>480000</v>
      </c>
      <c r="E6" s="9">
        <v>700000</v>
      </c>
      <c r="F6" s="9">
        <v>630000</v>
      </c>
      <c r="G6" s="10">
        <f t="shared" si="0"/>
        <v>480000</v>
      </c>
      <c r="H6" s="9">
        <f t="shared" si="1"/>
        <v>725000</v>
      </c>
      <c r="I6" s="9">
        <f t="shared" si="2"/>
        <v>633750</v>
      </c>
      <c r="J6" s="11" t="str">
        <f t="shared" si="3"/>
        <v>Fakhani (LBP)</v>
      </c>
    </row>
    <row r="7" spans="1:10" ht="20" customHeight="1" x14ac:dyDescent="0.35">
      <c r="A7" s="2" t="s">
        <v>15</v>
      </c>
      <c r="B7" s="3" t="s">
        <v>13</v>
      </c>
      <c r="C7" s="4">
        <v>534000</v>
      </c>
      <c r="D7" s="4">
        <v>250000</v>
      </c>
      <c r="E7" s="4">
        <v>550000</v>
      </c>
      <c r="F7" s="4">
        <v>470000</v>
      </c>
      <c r="G7" s="5">
        <f t="shared" si="0"/>
        <v>250000</v>
      </c>
      <c r="H7" s="4">
        <f t="shared" si="1"/>
        <v>550000</v>
      </c>
      <c r="I7" s="4">
        <f t="shared" si="2"/>
        <v>451000</v>
      </c>
      <c r="J7" s="6" t="str">
        <f t="shared" si="3"/>
        <v>Fakhani (LBP)</v>
      </c>
    </row>
    <row r="8" spans="1:10" ht="20" customHeight="1" x14ac:dyDescent="0.35">
      <c r="A8" s="7" t="s">
        <v>15</v>
      </c>
      <c r="B8" s="8" t="s">
        <v>14</v>
      </c>
      <c r="C8" s="9">
        <v>547000</v>
      </c>
      <c r="D8" s="9">
        <v>250000</v>
      </c>
      <c r="E8" s="9">
        <v>600000</v>
      </c>
      <c r="F8" s="9">
        <v>495000</v>
      </c>
      <c r="G8" s="10">
        <f t="shared" si="0"/>
        <v>250000</v>
      </c>
      <c r="H8" s="9">
        <f t="shared" si="1"/>
        <v>600000</v>
      </c>
      <c r="I8" s="9">
        <f t="shared" si="2"/>
        <v>473000</v>
      </c>
      <c r="J8" s="11" t="str">
        <f t="shared" si="3"/>
        <v>Fakhani (LBP)</v>
      </c>
    </row>
    <row r="9" spans="1:10" ht="20" customHeight="1" x14ac:dyDescent="0.35">
      <c r="A9" s="2" t="s">
        <v>16</v>
      </c>
      <c r="B9" s="3" t="s">
        <v>13</v>
      </c>
      <c r="C9" s="4">
        <v>623000</v>
      </c>
      <c r="D9" s="4">
        <v>325000</v>
      </c>
      <c r="E9" s="4">
        <v>600000</v>
      </c>
      <c r="F9" s="4">
        <v>675000</v>
      </c>
      <c r="G9" s="5">
        <f t="shared" si="0"/>
        <v>325000</v>
      </c>
      <c r="H9" s="4">
        <f t="shared" si="1"/>
        <v>675000</v>
      </c>
      <c r="I9" s="4">
        <f t="shared" si="2"/>
        <v>555750</v>
      </c>
      <c r="J9" s="6" t="str">
        <f t="shared" si="3"/>
        <v>Fakhani (LBP)</v>
      </c>
    </row>
    <row r="10" spans="1:10" ht="20" customHeight="1" x14ac:dyDescent="0.35">
      <c r="A10" s="7" t="s">
        <v>16</v>
      </c>
      <c r="B10" s="8" t="s">
        <v>14</v>
      </c>
      <c r="C10" s="9">
        <v>636000</v>
      </c>
      <c r="D10" s="9">
        <v>325000</v>
      </c>
      <c r="E10" s="9">
        <v>650000</v>
      </c>
      <c r="F10" s="9">
        <v>695000</v>
      </c>
      <c r="G10" s="10">
        <f t="shared" si="0"/>
        <v>325000</v>
      </c>
      <c r="H10" s="9">
        <f t="shared" si="1"/>
        <v>695000</v>
      </c>
      <c r="I10" s="9">
        <f t="shared" si="2"/>
        <v>576500</v>
      </c>
      <c r="J10" s="11" t="str">
        <f t="shared" si="3"/>
        <v>Fakhani (LBP)</v>
      </c>
    </row>
    <row r="11" spans="1:10" ht="20" customHeight="1" x14ac:dyDescent="0.35">
      <c r="A11" s="2" t="s">
        <v>17</v>
      </c>
      <c r="B11" s="3" t="s">
        <v>13</v>
      </c>
      <c r="C11" s="4">
        <v>356000</v>
      </c>
      <c r="D11" s="4">
        <v>200000</v>
      </c>
      <c r="E11" s="4">
        <v>500000</v>
      </c>
      <c r="F11" s="4">
        <v>340000</v>
      </c>
      <c r="G11" s="5">
        <f t="shared" si="0"/>
        <v>200000</v>
      </c>
      <c r="H11" s="4">
        <f t="shared" si="1"/>
        <v>500000</v>
      </c>
      <c r="I11" s="4">
        <f t="shared" si="2"/>
        <v>349000</v>
      </c>
      <c r="J11" s="6" t="str">
        <f t="shared" si="3"/>
        <v>Fakhani (LBP)</v>
      </c>
    </row>
    <row r="12" spans="1:10" ht="20" customHeight="1" x14ac:dyDescent="0.35">
      <c r="A12" s="7" t="s">
        <v>17</v>
      </c>
      <c r="B12" s="8" t="s">
        <v>14</v>
      </c>
      <c r="C12" s="9">
        <v>369000</v>
      </c>
      <c r="D12" s="9">
        <v>200000</v>
      </c>
      <c r="E12" s="9">
        <v>550000</v>
      </c>
      <c r="F12" s="9">
        <v>360000</v>
      </c>
      <c r="G12" s="10">
        <f t="shared" si="0"/>
        <v>200000</v>
      </c>
      <c r="H12" s="9">
        <f t="shared" si="1"/>
        <v>550000</v>
      </c>
      <c r="I12" s="9">
        <f t="shared" si="2"/>
        <v>369750</v>
      </c>
      <c r="J12" s="11" t="str">
        <f t="shared" si="3"/>
        <v>Fakhani (LBP)</v>
      </c>
    </row>
    <row r="13" spans="1:10" ht="22" customHeight="1" x14ac:dyDescent="0.35">
      <c r="A13" s="12" t="s">
        <v>10</v>
      </c>
      <c r="B13" s="13" t="s">
        <v>18</v>
      </c>
      <c r="C13" s="14">
        <f t="shared" ref="C13:I13" si="4">AVERAGE(C5:C12)</f>
        <v>562750</v>
      </c>
      <c r="D13" s="14">
        <f t="shared" si="4"/>
        <v>313750</v>
      </c>
      <c r="E13" s="14">
        <f t="shared" si="4"/>
        <v>600000</v>
      </c>
      <c r="F13" s="14">
        <f t="shared" si="4"/>
        <v>533750</v>
      </c>
      <c r="G13" s="14">
        <f t="shared" si="4"/>
        <v>313750</v>
      </c>
      <c r="H13" s="14">
        <f t="shared" si="4"/>
        <v>625875</v>
      </c>
      <c r="I13" s="14">
        <f t="shared" si="4"/>
        <v>502562.5</v>
      </c>
      <c r="J13" s="15" t="s">
        <v>19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5" x14ac:dyDescent="0.35"/>
  <cols>
    <col min="1" max="1" width="17" customWidth="1"/>
    <col min="2" max="2" width="39" customWidth="1"/>
    <col min="3" max="3" width="28" customWidth="1"/>
    <col min="4" max="4" width="37" customWidth="1"/>
    <col min="5" max="5" width="15" customWidth="1"/>
  </cols>
  <sheetData>
    <row r="1" spans="1:5" ht="25" customHeight="1" x14ac:dyDescent="0.35">
      <c r="A1" s="19" t="s">
        <v>20</v>
      </c>
      <c r="B1" s="20"/>
      <c r="C1" s="20"/>
      <c r="D1" s="20"/>
      <c r="E1" s="20"/>
    </row>
    <row r="3" spans="1:5" ht="22" customHeight="1" x14ac:dyDescent="0.35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</row>
    <row r="4" spans="1:5" ht="20" customHeight="1" x14ac:dyDescent="0.35">
      <c r="A4" s="17" t="s">
        <v>26</v>
      </c>
      <c r="B4" s="4">
        <f>AVERAGE('Price Comparison'!C5:C12)</f>
        <v>562750</v>
      </c>
      <c r="C4" s="3" t="s">
        <v>27</v>
      </c>
      <c r="D4" s="3" t="s">
        <v>28</v>
      </c>
      <c r="E4" s="6">
        <v>3</v>
      </c>
    </row>
    <row r="5" spans="1:5" ht="20" customHeight="1" x14ac:dyDescent="0.35">
      <c r="A5" s="18" t="s">
        <v>19</v>
      </c>
      <c r="B5" s="9">
        <f>AVERAGE('Price Comparison'!D5:D12)</f>
        <v>313750</v>
      </c>
      <c r="C5" s="8" t="s">
        <v>29</v>
      </c>
      <c r="D5" s="8" t="s">
        <v>30</v>
      </c>
      <c r="E5" s="11">
        <v>1</v>
      </c>
    </row>
    <row r="6" spans="1:5" ht="20" customHeight="1" x14ac:dyDescent="0.35">
      <c r="A6" s="17" t="s">
        <v>31</v>
      </c>
      <c r="B6" s="4">
        <f>AVERAGE('Price Comparison'!E5:E12)</f>
        <v>600000</v>
      </c>
      <c r="C6" s="3" t="s">
        <v>32</v>
      </c>
      <c r="D6" s="3" t="s">
        <v>33</v>
      </c>
      <c r="E6" s="6">
        <v>4</v>
      </c>
    </row>
    <row r="7" spans="1:5" ht="20" customHeight="1" x14ac:dyDescent="0.35">
      <c r="A7" s="18" t="s">
        <v>34</v>
      </c>
      <c r="B7" s="9">
        <f>AVERAGE('Price Comparison'!F5:F12)</f>
        <v>533750</v>
      </c>
      <c r="C7" s="8" t="s">
        <v>35</v>
      </c>
      <c r="D7" s="8" t="s">
        <v>36</v>
      </c>
      <c r="E7" s="11">
        <v>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Comparison</vt:lpstr>
      <vt:lpstr>Bakery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different</cp:lastModifiedBy>
  <dcterms:created xsi:type="dcterms:W3CDTF">2026-07-21T06:24:08Z</dcterms:created>
  <dcterms:modified xsi:type="dcterms:W3CDTF">2026-07-22T13:19:36Z</dcterms:modified>
</cp:coreProperties>
</file>