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0000"/>
      <sz val="10"/>
      <scheme val="minor"/>
    </font>
  </fonts>
  <fills count="3">
    <fill>
      <patternFill/>
    </fill>
    <fill>
      <patternFill patternType="gray125"/>
    </fill>
    <fill>
      <patternFill patternType="solid">
        <fgColor theme="9" tint="0.399975585192419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/>
    </xf>
    <xf numFmtId="0" fontId="1" fillId="0" borderId="0" pivotButton="0" quotePrefix="0" xfId="0"/>
    <xf numFmtId="0" fontId="3" fillId="0" borderId="0" pivotButton="0" quotePrefix="0" xfId="0"/>
    <xf numFmtId="0" fontId="3" fillId="0" borderId="1" pivotButton="0" quotePrefix="0" xfId="0"/>
    <xf numFmtId="3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3" fontId="2" fillId="0" borderId="1" applyAlignment="1" pivotButton="0" quotePrefix="0" xfId="0">
      <alignment horizontal="center"/>
    </xf>
    <xf numFmtId="3" fontId="4" fillId="0" borderId="1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5"/>
  <sheetViews>
    <sheetView tabSelected="1" zoomScale="137" zoomScaleNormal="115" workbookViewId="0">
      <pane ySplit="1" topLeftCell="A60" activePane="bottomLeft" state="frozen"/>
      <selection pane="bottomLeft" activeCell="J82" sqref="J82"/>
    </sheetView>
  </sheetViews>
  <sheetFormatPr baseColWidth="8" defaultColWidth="8.90625" defaultRowHeight="13"/>
  <cols>
    <col width="29.6328125" customWidth="1" style="4" min="1" max="1"/>
    <col width="8.08984375" bestFit="1" customWidth="1" style="10" min="2" max="2"/>
    <col width="8.54296875" bestFit="1" customWidth="1" style="10" min="3" max="3"/>
    <col width="10.36328125" bestFit="1" customWidth="1" style="10" min="4" max="4"/>
    <col width="7.453125" bestFit="1" customWidth="1" style="10" min="5" max="5"/>
    <col width="10.54296875" bestFit="1" customWidth="1" style="10" min="6" max="6"/>
    <col width="7.453125" bestFit="1" customWidth="1" style="10" min="7" max="7"/>
    <col width="7.453125" bestFit="1" customWidth="1" style="12" min="8" max="8"/>
    <col width="16.08984375" customWidth="1" style="4" min="9" max="9"/>
    <col width="8.90625" customWidth="1" style="4" min="10" max="16384"/>
  </cols>
  <sheetData>
    <row r="1" ht="15.5" customFormat="1" customHeight="1" s="3">
      <c r="A1" s="1" t="inlineStr">
        <is>
          <t>Products Competitors</t>
        </is>
      </c>
      <c r="B1" s="2" t="inlineStr">
        <is>
          <t xml:space="preserve">Stories </t>
        </is>
      </c>
      <c r="C1" s="2" t="inlineStr">
        <is>
          <t>Esp. Lab</t>
        </is>
      </c>
      <c r="D1" s="2" t="inlineStr">
        <is>
          <t>D. Donuts</t>
        </is>
      </c>
      <c r="E1" s="2" t="inlineStr">
        <is>
          <t>J &amp; J</t>
        </is>
      </c>
      <c r="F1" s="2" t="inlineStr">
        <is>
          <t xml:space="preserve">Starbucks </t>
        </is>
      </c>
      <c r="G1" s="2" t="inlineStr">
        <is>
          <t>Avg</t>
        </is>
      </c>
      <c r="H1" s="2" t="inlineStr">
        <is>
          <t>Dif.</t>
        </is>
      </c>
    </row>
    <row r="2" ht="22.5" customHeight="1">
      <c r="A2" s="13" t="inlineStr">
        <is>
          <t>Mixed Hot Beverages</t>
        </is>
      </c>
      <c r="B2" s="14" t="n"/>
      <c r="C2" s="14" t="n"/>
      <c r="D2" s="14" t="n"/>
      <c r="E2" s="14" t="n"/>
      <c r="F2" s="14" t="n"/>
      <c r="G2" s="14" t="n"/>
      <c r="H2" s="15" t="n"/>
    </row>
    <row r="3">
      <c r="A3" s="5" t="inlineStr">
        <is>
          <t>Cappuccino SMALL</t>
        </is>
      </c>
      <c r="B3" s="6" t="n">
        <v>500000</v>
      </c>
      <c r="C3" s="6" t="inlineStr">
        <is>
          <t>-</t>
        </is>
      </c>
      <c r="D3" s="6" t="n">
        <v>486000</v>
      </c>
      <c r="E3" s="7" t="inlineStr">
        <is>
          <t>-</t>
        </is>
      </c>
      <c r="F3" s="6" t="inlineStr">
        <is>
          <t>-</t>
        </is>
      </c>
      <c r="G3" s="6">
        <f>AVERAGE(B3:F3)</f>
        <v/>
      </c>
      <c r="H3" s="8">
        <f>B3-G3</f>
        <v/>
      </c>
    </row>
    <row r="4">
      <c r="A4" s="5" t="inlineStr">
        <is>
          <t>Cappuccino MEDIUM</t>
        </is>
      </c>
      <c r="B4" s="6" t="n">
        <v>600000</v>
      </c>
      <c r="C4" s="6" t="n">
        <v>650000</v>
      </c>
      <c r="D4" s="6" t="n">
        <v>576000</v>
      </c>
      <c r="E4" s="6" t="n">
        <v>554900</v>
      </c>
      <c r="F4" s="6" t="n">
        <v>550000</v>
      </c>
      <c r="G4" s="6">
        <f>AVERAGE(B4:F4)</f>
        <v/>
      </c>
      <c r="H4" s="8">
        <f>B4-G4</f>
        <v/>
      </c>
    </row>
    <row r="5">
      <c r="A5" s="5" t="inlineStr">
        <is>
          <t>Cappuccino LARGE</t>
        </is>
      </c>
      <c r="B5" s="6" t="n">
        <v>750000</v>
      </c>
      <c r="C5" s="6" t="n">
        <v>750000</v>
      </c>
      <c r="D5" s="6" t="n">
        <v>756000</v>
      </c>
      <c r="E5" s="6" t="n">
        <v>599650</v>
      </c>
      <c r="F5" s="6" t="n">
        <v>600000</v>
      </c>
      <c r="G5" s="6">
        <f>AVERAGE(B5:F5)</f>
        <v/>
      </c>
      <c r="H5" s="8">
        <f>B5-G5</f>
        <v/>
      </c>
    </row>
    <row r="6">
      <c r="A6" s="5" t="inlineStr">
        <is>
          <t>Mocha SMALL</t>
        </is>
      </c>
      <c r="B6" s="6" t="n">
        <v>550000</v>
      </c>
      <c r="C6" s="6" t="inlineStr">
        <is>
          <t>-</t>
        </is>
      </c>
      <c r="D6" s="7" t="inlineStr">
        <is>
          <t>-</t>
        </is>
      </c>
      <c r="E6" s="7" t="inlineStr">
        <is>
          <t>-</t>
        </is>
      </c>
      <c r="F6" s="6" t="n">
        <v>550000</v>
      </c>
      <c r="G6" s="6">
        <f>AVERAGE(B6:F6)</f>
        <v/>
      </c>
      <c r="H6" s="8">
        <f>B6-G6</f>
        <v/>
      </c>
    </row>
    <row r="7">
      <c r="A7" s="5" t="inlineStr">
        <is>
          <t>Mocha MEDIUM</t>
        </is>
      </c>
      <c r="B7" s="6" t="n">
        <v>700000</v>
      </c>
      <c r="C7" s="6" t="n">
        <v>800000</v>
      </c>
      <c r="D7" s="7" t="inlineStr">
        <is>
          <t>-</t>
        </is>
      </c>
      <c r="E7" s="6" t="n">
        <v>608600</v>
      </c>
      <c r="F7" s="6" t="n">
        <v>600000</v>
      </c>
      <c r="G7" s="6">
        <f>AVERAGE(B7:F7)</f>
        <v/>
      </c>
      <c r="H7" s="8">
        <f>B7-G7</f>
        <v/>
      </c>
    </row>
    <row r="8">
      <c r="A8" s="5" t="inlineStr">
        <is>
          <t>Mocha LARGE</t>
        </is>
      </c>
      <c r="B8" s="6" t="n">
        <v>800000</v>
      </c>
      <c r="C8" s="6" t="n">
        <v>950000</v>
      </c>
      <c r="D8" s="7" t="inlineStr">
        <is>
          <t>-</t>
        </is>
      </c>
      <c r="E8" s="6" t="n">
        <v>662300</v>
      </c>
      <c r="F8" s="6" t="n">
        <v>650000</v>
      </c>
      <c r="G8" s="6">
        <f>AVERAGE(B8:F8)</f>
        <v/>
      </c>
      <c r="H8" s="8">
        <f>B8-G8</f>
        <v/>
      </c>
    </row>
    <row r="9">
      <c r="A9" s="5" t="inlineStr">
        <is>
          <t>White Mocha SMALL</t>
        </is>
      </c>
      <c r="B9" s="6" t="n">
        <v>550000</v>
      </c>
      <c r="C9" s="7" t="inlineStr">
        <is>
          <t>-</t>
        </is>
      </c>
      <c r="D9" s="6" t="n">
        <v>576000</v>
      </c>
      <c r="E9" s="7" t="inlineStr">
        <is>
          <t>-</t>
        </is>
      </c>
      <c r="F9" s="6" t="n">
        <v>550000</v>
      </c>
      <c r="G9" s="6">
        <f>AVERAGE(B9:F9)</f>
        <v/>
      </c>
      <c r="H9" s="8">
        <f>B9-G9</f>
        <v/>
      </c>
    </row>
    <row r="10">
      <c r="A10" s="5" t="inlineStr">
        <is>
          <t>White Mocha MEDIUM</t>
        </is>
      </c>
      <c r="B10" s="6" t="n">
        <v>700000</v>
      </c>
      <c r="C10" s="6" t="n">
        <v>800000</v>
      </c>
      <c r="D10" s="6" t="n">
        <v>666000</v>
      </c>
      <c r="E10" s="7" t="inlineStr">
        <is>
          <t>-</t>
        </is>
      </c>
      <c r="F10" s="6" t="n">
        <v>600000</v>
      </c>
      <c r="G10" s="6">
        <f>AVERAGE(B10:F10)</f>
        <v/>
      </c>
      <c r="H10" s="8">
        <f>B10-G10</f>
        <v/>
      </c>
    </row>
    <row r="11">
      <c r="A11" s="5" t="inlineStr">
        <is>
          <t>White Mocha LARGE</t>
        </is>
      </c>
      <c r="B11" s="6" t="n">
        <v>800000</v>
      </c>
      <c r="C11" s="6" t="n">
        <v>950000</v>
      </c>
      <c r="D11" s="6" t="n"/>
      <c r="E11" s="7" t="inlineStr">
        <is>
          <t>-</t>
        </is>
      </c>
      <c r="F11" s="6" t="n">
        <v>650000</v>
      </c>
      <c r="G11" s="6">
        <f>AVERAGE(B11:F11)</f>
        <v/>
      </c>
      <c r="H11" s="8">
        <f>B11-G11</f>
        <v/>
      </c>
    </row>
    <row r="12">
      <c r="A12" s="5" t="inlineStr">
        <is>
          <t>Matcha Latte SMALL</t>
        </is>
      </c>
      <c r="B12" s="6" t="n">
        <v>550000</v>
      </c>
      <c r="C12" s="7" t="inlineStr">
        <is>
          <t>-</t>
        </is>
      </c>
      <c r="D12" s="7" t="inlineStr">
        <is>
          <t>-</t>
        </is>
      </c>
      <c r="E12" s="7" t="inlineStr">
        <is>
          <t>-</t>
        </is>
      </c>
      <c r="F12" s="6" t="inlineStr">
        <is>
          <t>-</t>
        </is>
      </c>
      <c r="G12" s="6">
        <f>AVERAGE(B12:F12)</f>
        <v/>
      </c>
      <c r="H12" s="8">
        <f>B12-G12</f>
        <v/>
      </c>
    </row>
    <row r="13">
      <c r="A13" s="5" t="inlineStr">
        <is>
          <t>Matcha Latte MEDIUM</t>
        </is>
      </c>
      <c r="B13" s="6" t="n">
        <v>650000</v>
      </c>
      <c r="C13" s="6" t="n">
        <v>750000</v>
      </c>
      <c r="D13" s="7" t="inlineStr">
        <is>
          <t>-</t>
        </is>
      </c>
      <c r="E13" s="6" t="n">
        <v>689150</v>
      </c>
      <c r="F13" s="6" t="n">
        <v>600000</v>
      </c>
      <c r="G13" s="6">
        <f>AVERAGE(B13:F13)</f>
        <v/>
      </c>
      <c r="H13" s="9">
        <f>B13-G13</f>
        <v/>
      </c>
    </row>
    <row r="14">
      <c r="A14" s="5" t="inlineStr">
        <is>
          <t>Matcha Latte LARGE</t>
        </is>
      </c>
      <c r="B14" s="6" t="n">
        <v>750000</v>
      </c>
      <c r="C14" s="6" t="n">
        <v>800000</v>
      </c>
      <c r="D14" s="6" t="n">
        <v>576000</v>
      </c>
      <c r="E14" s="6" t="n">
        <v>733900</v>
      </c>
      <c r="F14" s="6" t="n">
        <v>700000</v>
      </c>
      <c r="G14" s="6">
        <f>AVERAGE(B14:F14)</f>
        <v/>
      </c>
      <c r="H14" s="8">
        <f>B14-G14</f>
        <v/>
      </c>
    </row>
    <row r="15">
      <c r="A15" s="5" t="inlineStr">
        <is>
          <t>Hot Double Shot SMALL</t>
        </is>
      </c>
      <c r="B15" s="6" t="n">
        <v>550000</v>
      </c>
      <c r="C15" s="7" t="inlineStr">
        <is>
          <t>-</t>
        </is>
      </c>
      <c r="D15" s="7" t="inlineStr">
        <is>
          <t>-</t>
        </is>
      </c>
      <c r="E15" s="7" t="inlineStr">
        <is>
          <t>-</t>
        </is>
      </c>
      <c r="F15" s="7" t="inlineStr">
        <is>
          <t>-</t>
        </is>
      </c>
      <c r="G15" s="6">
        <f>AVERAGE(B15:F15)</f>
        <v/>
      </c>
      <c r="H15" s="8">
        <f>B15-G15</f>
        <v/>
      </c>
    </row>
    <row r="16">
      <c r="A16" s="5" t="inlineStr">
        <is>
          <t>Hot Double Shot MEDIUM</t>
        </is>
      </c>
      <c r="B16" s="6" t="n">
        <v>650000</v>
      </c>
      <c r="C16" s="7" t="inlineStr">
        <is>
          <t>-</t>
        </is>
      </c>
      <c r="D16" s="7" t="inlineStr">
        <is>
          <t>-</t>
        </is>
      </c>
      <c r="E16" s="7" t="inlineStr">
        <is>
          <t>-</t>
        </is>
      </c>
      <c r="F16" s="7" t="inlineStr">
        <is>
          <t>-</t>
        </is>
      </c>
      <c r="G16" s="6">
        <f>AVERAGE(B16:F16)</f>
        <v/>
      </c>
      <c r="H16" s="8">
        <f>B16-G16</f>
        <v/>
      </c>
    </row>
    <row r="17">
      <c r="A17" s="5" t="inlineStr">
        <is>
          <t>Hot Double Shot LARGE</t>
        </is>
      </c>
      <c r="B17" s="6" t="n">
        <v>800000</v>
      </c>
      <c r="C17" s="7" t="inlineStr">
        <is>
          <t>-</t>
        </is>
      </c>
      <c r="D17" s="7" t="inlineStr">
        <is>
          <t>-</t>
        </is>
      </c>
      <c r="E17" s="7" t="inlineStr">
        <is>
          <t>-</t>
        </is>
      </c>
      <c r="F17" s="7" t="inlineStr">
        <is>
          <t>-</t>
        </is>
      </c>
      <c r="G17" s="6">
        <f>AVERAGE(B17:F17)</f>
        <v/>
      </c>
      <c r="H17" s="8">
        <f>B17-G17</f>
        <v/>
      </c>
    </row>
    <row r="18">
      <c r="A18" s="5" t="inlineStr">
        <is>
          <t>Flat White SMALL</t>
        </is>
      </c>
      <c r="B18" s="6" t="n">
        <v>550000</v>
      </c>
      <c r="C18" s="6" t="n">
        <v>550000</v>
      </c>
      <c r="D18" s="7" t="inlineStr">
        <is>
          <t>-</t>
        </is>
      </c>
      <c r="E18" s="6" t="n">
        <v>519100</v>
      </c>
      <c r="F18" s="6" t="inlineStr">
        <is>
          <t>-</t>
        </is>
      </c>
      <c r="G18" s="6">
        <f>AVERAGE(B18:F18)</f>
        <v/>
      </c>
      <c r="H18" s="8">
        <f>B18-G18</f>
        <v/>
      </c>
    </row>
    <row r="19">
      <c r="A19" s="5" t="inlineStr">
        <is>
          <t>Salted Caramel Latte SMALL</t>
        </is>
      </c>
      <c r="B19" s="6" t="n">
        <v>550000</v>
      </c>
      <c r="C19" s="6" t="inlineStr">
        <is>
          <t>-</t>
        </is>
      </c>
      <c r="D19" s="7" t="inlineStr">
        <is>
          <t>-</t>
        </is>
      </c>
      <c r="E19" s="6" t="inlineStr">
        <is>
          <t>-</t>
        </is>
      </c>
      <c r="F19" s="7" t="inlineStr">
        <is>
          <t>-</t>
        </is>
      </c>
      <c r="G19" s="6">
        <f>AVERAGE(B19:F19)</f>
        <v/>
      </c>
      <c r="H19" s="8">
        <f>B19-G19</f>
        <v/>
      </c>
      <c r="I19" s="10" t="n"/>
    </row>
    <row r="20">
      <c r="A20" s="5" t="inlineStr">
        <is>
          <t>Salted Caramel Latte MEDIUM</t>
        </is>
      </c>
      <c r="B20" s="6" t="n">
        <v>700000</v>
      </c>
      <c r="C20" s="6" t="n">
        <v>800000</v>
      </c>
      <c r="D20" s="7" t="inlineStr">
        <is>
          <t>-</t>
        </is>
      </c>
      <c r="E20" s="6" t="n">
        <v>662300</v>
      </c>
      <c r="F20" s="7" t="inlineStr">
        <is>
          <t>-</t>
        </is>
      </c>
      <c r="G20" s="6">
        <f>AVERAGE(B20:F20)</f>
        <v/>
      </c>
      <c r="H20" s="9">
        <f>B20-G20</f>
        <v/>
      </c>
      <c r="I20" s="10" t="n"/>
    </row>
    <row r="21">
      <c r="A21" s="5" t="inlineStr">
        <is>
          <t>Salted Caramel Latte LARGE</t>
        </is>
      </c>
      <c r="B21" s="6" t="n">
        <v>850000</v>
      </c>
      <c r="C21" s="6" t="n">
        <v>900000</v>
      </c>
      <c r="D21" s="7" t="inlineStr">
        <is>
          <t>-</t>
        </is>
      </c>
      <c r="E21" s="6" t="n">
        <v>698100</v>
      </c>
      <c r="F21" s="7" t="inlineStr">
        <is>
          <t>-</t>
        </is>
      </c>
      <c r="G21" s="6">
        <f>AVERAGE(B21:F21)</f>
        <v/>
      </c>
      <c r="H21" s="8">
        <f>B21-G21</f>
        <v/>
      </c>
      <c r="I21" s="10" t="n"/>
    </row>
    <row r="22">
      <c r="A22" s="5" t="inlineStr">
        <is>
          <t>Caramel Macchiato SMALL</t>
        </is>
      </c>
      <c r="B22" s="6" t="n">
        <v>550000</v>
      </c>
      <c r="C22" s="7" t="inlineStr">
        <is>
          <t>-</t>
        </is>
      </c>
      <c r="D22" s="7" t="inlineStr">
        <is>
          <t>-</t>
        </is>
      </c>
      <c r="E22" s="7" t="inlineStr">
        <is>
          <t>-</t>
        </is>
      </c>
      <c r="F22" s="6" t="n">
        <v>600000</v>
      </c>
      <c r="G22" s="6">
        <f>AVERAGE(B22:F22)</f>
        <v/>
      </c>
      <c r="H22" s="8">
        <f>B22-G22</f>
        <v/>
      </c>
    </row>
    <row r="23">
      <c r="A23" s="5" t="inlineStr">
        <is>
          <t>Caramel Macchiato MEDIUM</t>
        </is>
      </c>
      <c r="B23" s="6" t="n">
        <v>650000</v>
      </c>
      <c r="C23" s="7" t="inlineStr">
        <is>
          <t>-</t>
        </is>
      </c>
      <c r="D23" s="7" t="inlineStr">
        <is>
          <t>-</t>
        </is>
      </c>
      <c r="E23" s="7" t="inlineStr">
        <is>
          <t>-</t>
        </is>
      </c>
      <c r="F23" s="6" t="n">
        <v>650000</v>
      </c>
      <c r="G23" s="6">
        <f>AVERAGE(B23:F23)</f>
        <v/>
      </c>
      <c r="H23" s="8">
        <f>B23-G23</f>
        <v/>
      </c>
    </row>
    <row r="24">
      <c r="A24" s="5" t="inlineStr">
        <is>
          <t>Caramel Macchiato LARGE</t>
        </is>
      </c>
      <c r="B24" s="6" t="n">
        <v>800000</v>
      </c>
      <c r="C24" s="7" t="inlineStr">
        <is>
          <t>-</t>
        </is>
      </c>
      <c r="D24" s="7" t="inlineStr">
        <is>
          <t>-</t>
        </is>
      </c>
      <c r="E24" s="7" t="inlineStr">
        <is>
          <t>-</t>
        </is>
      </c>
      <c r="F24" s="6" t="n">
        <v>700000</v>
      </c>
      <c r="G24" s="6">
        <f>AVERAGE(B24:F24)</f>
        <v/>
      </c>
      <c r="H24" s="8">
        <f>B24-G24</f>
        <v/>
      </c>
    </row>
    <row r="25">
      <c r="A25" s="5" t="inlineStr">
        <is>
          <t>Latte SMALL</t>
        </is>
      </c>
      <c r="B25" s="6" t="n">
        <v>500000</v>
      </c>
      <c r="C25" s="6" t="inlineStr">
        <is>
          <t>-</t>
        </is>
      </c>
      <c r="D25" s="6" t="n">
        <v>486000</v>
      </c>
      <c r="E25" s="7" t="inlineStr">
        <is>
          <t>-</t>
        </is>
      </c>
      <c r="F25" s="6" t="n">
        <v>500000</v>
      </c>
      <c r="G25" s="6">
        <f>AVERAGE(B25:F25)</f>
        <v/>
      </c>
      <c r="H25" s="8">
        <f>B25-G25</f>
        <v/>
      </c>
    </row>
    <row r="26">
      <c r="A26" s="5" t="inlineStr">
        <is>
          <t>Latte MEDIUM</t>
        </is>
      </c>
      <c r="B26" s="6" t="n">
        <v>600000</v>
      </c>
      <c r="C26" s="6" t="n">
        <v>650000</v>
      </c>
      <c r="D26" s="6" t="n">
        <v>576000</v>
      </c>
      <c r="E26" s="6" t="n">
        <v>554900</v>
      </c>
      <c r="F26" s="6" t="n">
        <v>550000</v>
      </c>
      <c r="G26" s="6">
        <f>AVERAGE(B26:F26)</f>
        <v/>
      </c>
      <c r="H26" s="8">
        <f>B26-G26</f>
        <v/>
      </c>
    </row>
    <row r="27">
      <c r="A27" s="5" t="inlineStr">
        <is>
          <t>Latte LARGE</t>
        </is>
      </c>
      <c r="B27" s="6" t="n">
        <v>750000</v>
      </c>
      <c r="C27" s="6" t="n">
        <v>750000</v>
      </c>
      <c r="D27" s="6" t="n">
        <v>666000</v>
      </c>
      <c r="E27" s="6" t="n">
        <v>599650</v>
      </c>
      <c r="F27" s="6" t="n">
        <v>600000</v>
      </c>
      <c r="G27" s="6">
        <f>AVERAGE(B27:F27)</f>
        <v/>
      </c>
      <c r="H27" s="8">
        <f>B27-G27</f>
        <v/>
      </c>
    </row>
    <row r="28">
      <c r="A28" s="5" t="inlineStr">
        <is>
          <t>Toffee Nut Latte SMALL</t>
        </is>
      </c>
      <c r="B28" s="6" t="n">
        <v>550000</v>
      </c>
      <c r="C28" s="7" t="inlineStr">
        <is>
          <t>-</t>
        </is>
      </c>
      <c r="D28" s="7" t="inlineStr">
        <is>
          <t>-</t>
        </is>
      </c>
      <c r="E28" s="7" t="inlineStr">
        <is>
          <t>-</t>
        </is>
      </c>
      <c r="F28" s="7" t="inlineStr">
        <is>
          <t>-</t>
        </is>
      </c>
      <c r="G28" s="6">
        <f>AVERAGE(B28:F28)</f>
        <v/>
      </c>
      <c r="H28" s="8">
        <f>B28-G28</f>
        <v/>
      </c>
    </row>
    <row r="29">
      <c r="A29" s="5" t="inlineStr">
        <is>
          <t>Toffee Nut Latte MEDIUM</t>
        </is>
      </c>
      <c r="B29" s="6" t="n">
        <v>650000</v>
      </c>
      <c r="C29" s="7" t="inlineStr">
        <is>
          <t>-</t>
        </is>
      </c>
      <c r="D29" s="7" t="inlineStr">
        <is>
          <t>-</t>
        </is>
      </c>
      <c r="E29" s="7" t="inlineStr">
        <is>
          <t>-</t>
        </is>
      </c>
      <c r="F29" s="7" t="inlineStr">
        <is>
          <t>-</t>
        </is>
      </c>
      <c r="G29" s="6">
        <f>AVERAGE(B29:F29)</f>
        <v/>
      </c>
      <c r="H29" s="8">
        <f>B29-G29</f>
        <v/>
      </c>
    </row>
    <row r="30">
      <c r="A30" s="5" t="inlineStr">
        <is>
          <t>Toffee Nut Latte LARGE</t>
        </is>
      </c>
      <c r="B30" s="6" t="n">
        <v>800000</v>
      </c>
      <c r="C30" s="7" t="inlineStr">
        <is>
          <t>-</t>
        </is>
      </c>
      <c r="D30" s="7" t="inlineStr">
        <is>
          <t>-</t>
        </is>
      </c>
      <c r="E30" s="7" t="inlineStr">
        <is>
          <t>-</t>
        </is>
      </c>
      <c r="F30" s="7" t="inlineStr">
        <is>
          <t>-</t>
        </is>
      </c>
      <c r="G30" s="6">
        <f>AVERAGE(B30:F30)</f>
        <v/>
      </c>
      <c r="H30" s="8">
        <f>B30-G30</f>
        <v/>
      </c>
    </row>
    <row r="31">
      <c r="A31" s="5" t="inlineStr">
        <is>
          <t>Hot Chocolate SMALL</t>
        </is>
      </c>
      <c r="B31" s="6" t="n">
        <v>550000</v>
      </c>
      <c r="C31" s="6" t="inlineStr">
        <is>
          <t>-</t>
        </is>
      </c>
      <c r="D31" s="6" t="n">
        <v>486000</v>
      </c>
      <c r="E31" s="7" t="inlineStr">
        <is>
          <t>-</t>
        </is>
      </c>
      <c r="F31" s="6" t="n">
        <v>550000</v>
      </c>
      <c r="G31" s="6">
        <f>AVERAGE(B31:F31)</f>
        <v/>
      </c>
      <c r="H31" s="8">
        <f>B31-G31</f>
        <v/>
      </c>
    </row>
    <row r="32">
      <c r="A32" s="5" t="inlineStr">
        <is>
          <t>Hot Chocolate MEDIUM</t>
        </is>
      </c>
      <c r="B32" s="6" t="n">
        <v>650000</v>
      </c>
      <c r="C32" s="6" t="inlineStr">
        <is>
          <t>-</t>
        </is>
      </c>
      <c r="D32" s="6" t="n">
        <v>576000</v>
      </c>
      <c r="E32" s="6" t="n">
        <v>554900</v>
      </c>
      <c r="F32" s="6" t="n">
        <v>600000</v>
      </c>
      <c r="G32" s="6">
        <f>AVERAGE(B32:F32)</f>
        <v/>
      </c>
      <c r="H32" s="8">
        <f>B32-G32</f>
        <v/>
      </c>
    </row>
    <row r="33">
      <c r="A33" s="5" t="inlineStr">
        <is>
          <t>Hot Chocolate LARGE</t>
        </is>
      </c>
      <c r="B33" s="6" t="n">
        <v>800000</v>
      </c>
      <c r="C33" s="6" t="inlineStr">
        <is>
          <t>-</t>
        </is>
      </c>
      <c r="D33" s="6" t="n">
        <v>666000</v>
      </c>
      <c r="E33" s="6" t="n">
        <v>608600</v>
      </c>
      <c r="F33" s="6" t="n">
        <v>650000</v>
      </c>
      <c r="G33" s="6">
        <f>AVERAGE(B33:F33)</f>
        <v/>
      </c>
      <c r="H33" s="8">
        <f>B33-G33</f>
        <v/>
      </c>
    </row>
    <row r="34" ht="22.5" customHeight="1">
      <c r="A34" s="13" t="inlineStr">
        <is>
          <t>Blended Drinks</t>
        </is>
      </c>
      <c r="B34" s="14" t="n"/>
      <c r="C34" s="14" t="n"/>
      <c r="D34" s="14" t="n"/>
      <c r="E34" s="14" t="n"/>
      <c r="F34" s="14" t="n"/>
      <c r="G34" s="14" t="n"/>
      <c r="H34" s="15" t="n"/>
    </row>
    <row r="35">
      <c r="A35" s="5" t="inlineStr">
        <is>
          <t>Espresso Frap SMALL</t>
        </is>
      </c>
      <c r="B35" s="6" t="n">
        <v>500000</v>
      </c>
      <c r="C35" s="7" t="inlineStr">
        <is>
          <t>-</t>
        </is>
      </c>
      <c r="D35" s="7" t="inlineStr">
        <is>
          <t>-</t>
        </is>
      </c>
      <c r="E35" s="7" t="inlineStr">
        <is>
          <t>-</t>
        </is>
      </c>
      <c r="F35" s="7" t="inlineStr">
        <is>
          <t>-</t>
        </is>
      </c>
      <c r="G35" s="6">
        <f>AVERAGE(B35:F35)</f>
        <v/>
      </c>
      <c r="H35" s="8">
        <f>B35-G35</f>
        <v/>
      </c>
    </row>
    <row r="36">
      <c r="A36" s="5" t="inlineStr">
        <is>
          <t>Espresso Frap MEDIUM</t>
        </is>
      </c>
      <c r="B36" s="6" t="n">
        <v>600000</v>
      </c>
      <c r="C36" s="7" t="inlineStr">
        <is>
          <t>-</t>
        </is>
      </c>
      <c r="D36" s="7" t="inlineStr">
        <is>
          <t>-</t>
        </is>
      </c>
      <c r="E36" s="7" t="inlineStr">
        <is>
          <t>-</t>
        </is>
      </c>
      <c r="F36" s="7" t="inlineStr">
        <is>
          <t>-</t>
        </is>
      </c>
      <c r="G36" s="6">
        <f>AVERAGE(B36:F36)</f>
        <v/>
      </c>
      <c r="H36" s="8">
        <f>B36-G36</f>
        <v/>
      </c>
    </row>
    <row r="37">
      <c r="A37" s="5" t="inlineStr">
        <is>
          <t>Espresso Frap LARGE</t>
        </is>
      </c>
      <c r="B37" s="6" t="n">
        <v>700000</v>
      </c>
      <c r="C37" s="7" t="inlineStr">
        <is>
          <t>-</t>
        </is>
      </c>
      <c r="D37" s="7" t="inlineStr">
        <is>
          <t>-</t>
        </is>
      </c>
      <c r="E37" s="7" t="inlineStr">
        <is>
          <t>-</t>
        </is>
      </c>
      <c r="F37" s="7" t="inlineStr">
        <is>
          <t>-</t>
        </is>
      </c>
      <c r="G37" s="6">
        <f>AVERAGE(B37:F37)</f>
        <v/>
      </c>
      <c r="H37" s="8">
        <f>B37-G37</f>
        <v/>
      </c>
    </row>
    <row r="38">
      <c r="A38" s="5" t="inlineStr">
        <is>
          <t>Matcha Cream Frap SMALL</t>
        </is>
      </c>
      <c r="B38" s="6" t="n">
        <v>550000</v>
      </c>
      <c r="C38" s="7" t="inlineStr">
        <is>
          <t>-</t>
        </is>
      </c>
      <c r="D38" s="7" t="inlineStr">
        <is>
          <t>-</t>
        </is>
      </c>
      <c r="E38" s="7" t="inlineStr">
        <is>
          <t>-</t>
        </is>
      </c>
      <c r="F38" s="7" t="inlineStr">
        <is>
          <t>-</t>
        </is>
      </c>
      <c r="G38" s="6">
        <f>AVERAGE(B38:F38)</f>
        <v/>
      </c>
      <c r="H38" s="8">
        <f>B38-G38</f>
        <v/>
      </c>
    </row>
    <row r="39">
      <c r="A39" s="5" t="inlineStr">
        <is>
          <t>Matcha Cream Frap MEDIUM</t>
        </is>
      </c>
      <c r="B39" s="6" t="n">
        <v>700000</v>
      </c>
      <c r="C39" s="7" t="inlineStr">
        <is>
          <t>-</t>
        </is>
      </c>
      <c r="D39" s="7" t="inlineStr">
        <is>
          <t>-</t>
        </is>
      </c>
      <c r="E39" s="7" t="inlineStr">
        <is>
          <t>-</t>
        </is>
      </c>
      <c r="F39" s="7" t="inlineStr">
        <is>
          <t>-</t>
        </is>
      </c>
      <c r="G39" s="6">
        <f>AVERAGE(B39:F39)</f>
        <v/>
      </c>
      <c r="H39" s="8">
        <f>B39-G39</f>
        <v/>
      </c>
    </row>
    <row r="40">
      <c r="A40" s="5" t="inlineStr">
        <is>
          <t>Matcha Cream Frap LARGE</t>
        </is>
      </c>
      <c r="B40" s="6" t="n">
        <v>800000</v>
      </c>
      <c r="C40" s="7" t="inlineStr">
        <is>
          <t>-</t>
        </is>
      </c>
      <c r="D40" s="7" t="inlineStr">
        <is>
          <t>-</t>
        </is>
      </c>
      <c r="E40" s="7" t="inlineStr">
        <is>
          <t>-</t>
        </is>
      </c>
      <c r="F40" s="7" t="inlineStr">
        <is>
          <t>-</t>
        </is>
      </c>
      <c r="G40" s="6">
        <f>AVERAGE(B40:F40)</f>
        <v/>
      </c>
      <c r="H40" s="8">
        <f>B40-G40</f>
        <v/>
      </c>
    </row>
    <row r="41">
      <c r="A41" s="5" t="inlineStr">
        <is>
          <t>Vanilla Cream Frap SMALL</t>
        </is>
      </c>
      <c r="B41" s="6" t="n">
        <v>550000</v>
      </c>
      <c r="C41" s="7" t="inlineStr">
        <is>
          <t>-</t>
        </is>
      </c>
      <c r="D41" s="7" t="inlineStr">
        <is>
          <t>-</t>
        </is>
      </c>
      <c r="E41" s="7" t="inlineStr">
        <is>
          <t>-</t>
        </is>
      </c>
      <c r="F41" s="7" t="inlineStr">
        <is>
          <t>-</t>
        </is>
      </c>
      <c r="G41" s="6">
        <f>AVERAGE(B41:F41)</f>
        <v/>
      </c>
      <c r="H41" s="8">
        <f>B41-G41</f>
        <v/>
      </c>
    </row>
    <row r="42">
      <c r="A42" s="5" t="inlineStr">
        <is>
          <t>Vanilla Cream Frap MEDIUM</t>
        </is>
      </c>
      <c r="B42" s="6" t="n">
        <v>700000</v>
      </c>
      <c r="C42" s="7" t="inlineStr">
        <is>
          <t>-</t>
        </is>
      </c>
      <c r="D42" s="7" t="inlineStr">
        <is>
          <t>-</t>
        </is>
      </c>
      <c r="E42" s="7" t="inlineStr">
        <is>
          <t>-</t>
        </is>
      </c>
      <c r="F42" s="6" t="n">
        <v>650000</v>
      </c>
      <c r="G42" s="6">
        <f>AVERAGE(B42:F42)</f>
        <v/>
      </c>
      <c r="H42" s="8">
        <f>B42-G42</f>
        <v/>
      </c>
    </row>
    <row r="43">
      <c r="A43" s="5" t="inlineStr">
        <is>
          <t>Vanilla Cream Frap LARGE</t>
        </is>
      </c>
      <c r="B43" s="6" t="n">
        <v>800000</v>
      </c>
      <c r="C43" s="7" t="inlineStr">
        <is>
          <t>-</t>
        </is>
      </c>
      <c r="D43" s="7" t="inlineStr">
        <is>
          <t>-</t>
        </is>
      </c>
      <c r="E43" s="7" t="inlineStr">
        <is>
          <t>-</t>
        </is>
      </c>
      <c r="F43" s="6" t="n">
        <v>750000</v>
      </c>
      <c r="G43" s="6">
        <f>AVERAGE(B43:F43)</f>
        <v/>
      </c>
      <c r="H43" s="8">
        <f>B43-G43</f>
        <v/>
      </c>
    </row>
    <row r="44">
      <c r="A44" s="5" t="inlineStr">
        <is>
          <t>Caramel Cream Frap SMALL</t>
        </is>
      </c>
      <c r="B44" s="6" t="n">
        <v>550000</v>
      </c>
      <c r="C44" s="7" t="inlineStr">
        <is>
          <t>-</t>
        </is>
      </c>
      <c r="D44" s="7" t="inlineStr">
        <is>
          <t>-</t>
        </is>
      </c>
      <c r="E44" s="7" t="inlineStr">
        <is>
          <t>-</t>
        </is>
      </c>
      <c r="F44" s="7" t="inlineStr">
        <is>
          <t>-</t>
        </is>
      </c>
      <c r="G44" s="6">
        <f>AVERAGE(B44:F44)</f>
        <v/>
      </c>
      <c r="H44" s="8">
        <f>B44-G44</f>
        <v/>
      </c>
    </row>
    <row r="45">
      <c r="A45" s="5" t="inlineStr">
        <is>
          <t>Caramel Cream Frap MEDIUM</t>
        </is>
      </c>
      <c r="B45" s="6" t="n">
        <v>700000</v>
      </c>
      <c r="C45" s="6" t="n">
        <v>650000</v>
      </c>
      <c r="D45" s="6" t="n">
        <v>801000</v>
      </c>
      <c r="E45" s="7" t="inlineStr">
        <is>
          <t>-</t>
        </is>
      </c>
      <c r="F45" s="6" t="n">
        <v>650000</v>
      </c>
      <c r="G45" s="6">
        <f>AVERAGE(B45:F45)</f>
        <v/>
      </c>
      <c r="H45" s="8">
        <f>B45-G45</f>
        <v/>
      </c>
    </row>
    <row r="46">
      <c r="A46" s="5" t="inlineStr">
        <is>
          <t>Caramel Cream Frap LARGE</t>
        </is>
      </c>
      <c r="B46" s="6" t="n">
        <v>800000</v>
      </c>
      <c r="C46" s="6" t="n">
        <v>750000</v>
      </c>
      <c r="D46" s="7" t="inlineStr">
        <is>
          <t>-</t>
        </is>
      </c>
      <c r="E46" s="7" t="inlineStr">
        <is>
          <t>-</t>
        </is>
      </c>
      <c r="F46" s="6" t="n">
        <v>750000</v>
      </c>
      <c r="G46" s="6">
        <f>AVERAGE(B46:F46)</f>
        <v/>
      </c>
      <c r="H46" s="8">
        <f>B46-G46</f>
        <v/>
      </c>
    </row>
    <row r="47">
      <c r="A47" s="5" t="inlineStr">
        <is>
          <t>Chocolate Cream Frap SMALL</t>
        </is>
      </c>
      <c r="B47" s="6" t="n">
        <v>550000</v>
      </c>
      <c r="C47" s="7" t="inlineStr">
        <is>
          <t>-</t>
        </is>
      </c>
      <c r="D47" s="7" t="inlineStr">
        <is>
          <t>-</t>
        </is>
      </c>
      <c r="E47" s="7" t="inlineStr">
        <is>
          <t>-</t>
        </is>
      </c>
      <c r="F47" s="7" t="inlineStr">
        <is>
          <t>-</t>
        </is>
      </c>
      <c r="G47" s="6">
        <f>AVERAGE(B47:F47)</f>
        <v/>
      </c>
      <c r="H47" s="8">
        <f>B47-G47</f>
        <v/>
      </c>
    </row>
    <row r="48">
      <c r="A48" s="5" t="inlineStr">
        <is>
          <t>Chocolate Cream Frap MEDIUM</t>
        </is>
      </c>
      <c r="B48" s="6" t="n">
        <v>700000</v>
      </c>
      <c r="C48" s="7" t="inlineStr">
        <is>
          <t>-</t>
        </is>
      </c>
      <c r="D48" s="6" t="n">
        <v>801000</v>
      </c>
      <c r="E48" s="7" t="inlineStr">
        <is>
          <t>-</t>
        </is>
      </c>
      <c r="F48" s="7" t="inlineStr">
        <is>
          <t>-</t>
        </is>
      </c>
      <c r="G48" s="6">
        <f>AVERAGE(B48:F48)</f>
        <v/>
      </c>
      <c r="H48" s="8">
        <f>B48-G48</f>
        <v/>
      </c>
    </row>
    <row r="49">
      <c r="A49" s="5" t="inlineStr">
        <is>
          <t>Chocolate Cream Frap LARGE</t>
        </is>
      </c>
      <c r="B49" s="6" t="n">
        <v>800000</v>
      </c>
      <c r="C49" s="7" t="inlineStr">
        <is>
          <t>-</t>
        </is>
      </c>
      <c r="D49" s="7" t="inlineStr">
        <is>
          <t>-</t>
        </is>
      </c>
      <c r="E49" s="7" t="inlineStr">
        <is>
          <t>-</t>
        </is>
      </c>
      <c r="F49" s="7" t="inlineStr">
        <is>
          <t>-</t>
        </is>
      </c>
      <c r="G49" s="6">
        <f>AVERAGE(B49:F49)</f>
        <v/>
      </c>
      <c r="H49" s="8">
        <f>B49-G49</f>
        <v/>
      </c>
    </row>
    <row r="50">
      <c r="A50" s="5" t="inlineStr">
        <is>
          <t xml:space="preserve"> White Mocha Cream Frap SMALL</t>
        </is>
      </c>
      <c r="B50" s="6" t="n">
        <v>550000</v>
      </c>
      <c r="C50" s="7" t="inlineStr">
        <is>
          <t>-</t>
        </is>
      </c>
      <c r="D50" s="7" t="inlineStr">
        <is>
          <t>-</t>
        </is>
      </c>
      <c r="E50" s="7" t="inlineStr">
        <is>
          <t>-</t>
        </is>
      </c>
      <c r="F50" s="6" t="inlineStr">
        <is>
          <t>-</t>
        </is>
      </c>
      <c r="G50" s="6">
        <f>AVERAGE(B50:F50)</f>
        <v/>
      </c>
      <c r="H50" s="8">
        <f>B50-G50</f>
        <v/>
      </c>
    </row>
    <row r="51">
      <c r="A51" s="5" t="inlineStr">
        <is>
          <t>White Mocha Cream Frap MEDIUM</t>
        </is>
      </c>
      <c r="B51" s="6" t="n">
        <v>700000</v>
      </c>
      <c r="C51" s="6" t="inlineStr">
        <is>
          <t>8000,00</t>
        </is>
      </c>
      <c r="D51" s="7" t="inlineStr">
        <is>
          <t>-</t>
        </is>
      </c>
      <c r="E51" s="7" t="inlineStr">
        <is>
          <t>-</t>
        </is>
      </c>
      <c r="F51" s="6" t="n">
        <v>650000</v>
      </c>
      <c r="G51" s="6">
        <f>AVERAGE(B51:F51)</f>
        <v/>
      </c>
      <c r="H51" s="8">
        <f>B51-G51</f>
        <v/>
      </c>
    </row>
    <row r="52">
      <c r="A52" s="5" t="inlineStr">
        <is>
          <t>White Mocha Cream Frap LARGE</t>
        </is>
      </c>
      <c r="B52" s="6" t="n">
        <v>800000</v>
      </c>
      <c r="C52" s="6" t="n">
        <v>900000</v>
      </c>
      <c r="D52" s="7" t="inlineStr">
        <is>
          <t>-</t>
        </is>
      </c>
      <c r="E52" s="7" t="inlineStr">
        <is>
          <t>-</t>
        </is>
      </c>
      <c r="F52" s="6" t="n">
        <v>750000</v>
      </c>
      <c r="G52" s="6">
        <f>AVERAGE(B52:F52)</f>
        <v/>
      </c>
      <c r="H52" s="8">
        <f>B52-G52</f>
        <v/>
      </c>
    </row>
    <row r="53">
      <c r="A53" s="5" t="inlineStr">
        <is>
          <t>Hazelnut Coffee Frap SMALL</t>
        </is>
      </c>
      <c r="B53" s="6" t="n">
        <v>550000</v>
      </c>
      <c r="C53" s="7" t="inlineStr">
        <is>
          <t>-</t>
        </is>
      </c>
      <c r="D53" s="7" t="inlineStr">
        <is>
          <t>-</t>
        </is>
      </c>
      <c r="E53" s="7" t="inlineStr">
        <is>
          <t>-</t>
        </is>
      </c>
      <c r="F53" s="7" t="inlineStr">
        <is>
          <t>-</t>
        </is>
      </c>
      <c r="G53" s="6">
        <f>AVERAGE(B53:F53)</f>
        <v/>
      </c>
      <c r="H53" s="8">
        <f>B53-G53</f>
        <v/>
      </c>
    </row>
    <row r="54">
      <c r="A54" s="5" t="inlineStr">
        <is>
          <t>Hazelnut Coffee Frap MEDIUM</t>
        </is>
      </c>
      <c r="B54" s="6" t="n">
        <v>700000</v>
      </c>
      <c r="C54" s="7" t="inlineStr">
        <is>
          <t>-</t>
        </is>
      </c>
      <c r="D54" s="7" t="inlineStr">
        <is>
          <t>-</t>
        </is>
      </c>
      <c r="E54" s="7" t="inlineStr">
        <is>
          <t>-</t>
        </is>
      </c>
      <c r="F54" s="7" t="inlineStr">
        <is>
          <t>-</t>
        </is>
      </c>
      <c r="G54" s="6">
        <f>AVERAGE(B54:F54)</f>
        <v/>
      </c>
      <c r="H54" s="8">
        <f>B54-G54</f>
        <v/>
      </c>
    </row>
    <row r="55">
      <c r="A55" s="5" t="inlineStr">
        <is>
          <t>Hazelnut Coffee Frap LARGE</t>
        </is>
      </c>
      <c r="B55" s="6" t="n">
        <v>800000</v>
      </c>
      <c r="C55" s="7" t="inlineStr">
        <is>
          <t>-</t>
        </is>
      </c>
      <c r="D55" s="7" t="inlineStr">
        <is>
          <t>-</t>
        </is>
      </c>
      <c r="E55" s="7" t="inlineStr">
        <is>
          <t>-</t>
        </is>
      </c>
      <c r="F55" s="7" t="inlineStr">
        <is>
          <t>-</t>
        </is>
      </c>
      <c r="G55" s="6">
        <f>AVERAGE(B55:F55)</f>
        <v/>
      </c>
      <c r="H55" s="8">
        <f>B55-G55</f>
        <v/>
      </c>
    </row>
    <row r="56">
      <c r="A56" s="5" t="inlineStr">
        <is>
          <t>Coffee Frap SMALL</t>
        </is>
      </c>
      <c r="B56" s="6" t="n">
        <v>500000</v>
      </c>
      <c r="C56" s="7" t="inlineStr">
        <is>
          <t>-</t>
        </is>
      </c>
      <c r="D56" s="7" t="inlineStr">
        <is>
          <t>-</t>
        </is>
      </c>
      <c r="E56" s="7" t="inlineStr">
        <is>
          <t>-</t>
        </is>
      </c>
      <c r="F56" s="6" t="inlineStr">
        <is>
          <t>-</t>
        </is>
      </c>
      <c r="G56" s="6">
        <f>AVERAGE(B56:F56)</f>
        <v/>
      </c>
      <c r="H56" s="8">
        <f>B56-G56</f>
        <v/>
      </c>
    </row>
    <row r="57">
      <c r="A57" s="5" t="inlineStr">
        <is>
          <t>Coffee Frap MEDIUM</t>
        </is>
      </c>
      <c r="B57" s="6" t="n">
        <v>600000</v>
      </c>
      <c r="C57" s="6" t="n">
        <v>650000</v>
      </c>
      <c r="D57" s="7" t="inlineStr">
        <is>
          <t>-</t>
        </is>
      </c>
      <c r="E57" s="7" t="inlineStr">
        <is>
          <t>-</t>
        </is>
      </c>
      <c r="F57" s="6" t="n">
        <v>550000</v>
      </c>
      <c r="G57" s="6">
        <f>AVERAGE(B57:F57)</f>
        <v/>
      </c>
      <c r="H57" s="8">
        <f>B57-G57</f>
        <v/>
      </c>
    </row>
    <row r="58">
      <c r="A58" s="5" t="inlineStr">
        <is>
          <t>Coffee Frap LARGE</t>
        </is>
      </c>
      <c r="B58" s="6" t="n">
        <v>700000</v>
      </c>
      <c r="C58" s="6" t="n">
        <v>750000</v>
      </c>
      <c r="D58" s="7" t="inlineStr">
        <is>
          <t>-</t>
        </is>
      </c>
      <c r="E58" s="7" t="inlineStr">
        <is>
          <t>-</t>
        </is>
      </c>
      <c r="F58" s="6" t="n">
        <v>650000</v>
      </c>
      <c r="G58" s="6">
        <f>AVERAGE(B58:F58)</f>
        <v/>
      </c>
      <c r="H58" s="8">
        <f>B58-G58</f>
        <v/>
      </c>
    </row>
    <row r="59">
      <c r="A59" s="5" t="inlineStr">
        <is>
          <t>Strawberry Cream Frap SMALL</t>
        </is>
      </c>
      <c r="B59" s="6" t="n">
        <v>550000</v>
      </c>
      <c r="C59" s="7" t="inlineStr">
        <is>
          <t>-</t>
        </is>
      </c>
      <c r="D59" s="7" t="inlineStr">
        <is>
          <t>-</t>
        </is>
      </c>
      <c r="E59" s="7" t="inlineStr">
        <is>
          <t>-</t>
        </is>
      </c>
      <c r="F59" s="7" t="inlineStr">
        <is>
          <t>-</t>
        </is>
      </c>
      <c r="G59" s="6">
        <f>AVERAGE(B59:F59)</f>
        <v/>
      </c>
      <c r="H59" s="8">
        <f>B59-G59</f>
        <v/>
      </c>
    </row>
    <row r="60">
      <c r="A60" s="5" t="inlineStr">
        <is>
          <t>Strawberry Cream Frap MEDIUM</t>
        </is>
      </c>
      <c r="B60" s="6" t="n">
        <v>700000</v>
      </c>
      <c r="C60" s="6" t="n">
        <v>600000</v>
      </c>
      <c r="D60" s="7" t="inlineStr">
        <is>
          <t>-</t>
        </is>
      </c>
      <c r="E60" s="7" t="inlineStr">
        <is>
          <t>-</t>
        </is>
      </c>
      <c r="F60" s="6" t="n">
        <v>650000</v>
      </c>
      <c r="G60" s="6">
        <f>AVERAGE(B60:F60)</f>
        <v/>
      </c>
      <c r="H60" s="8">
        <f>B60-G60</f>
        <v/>
      </c>
    </row>
    <row r="61">
      <c r="A61" s="5" t="inlineStr">
        <is>
          <t>Strawberry Cream Frap LARGE</t>
        </is>
      </c>
      <c r="B61" s="6" t="n">
        <v>800000</v>
      </c>
      <c r="C61" s="6" t="n">
        <v>650000</v>
      </c>
      <c r="D61" s="7" t="inlineStr">
        <is>
          <t>-</t>
        </is>
      </c>
      <c r="E61" s="7" t="inlineStr">
        <is>
          <t>-</t>
        </is>
      </c>
      <c r="F61" s="6" t="n">
        <v>750000</v>
      </c>
      <c r="G61" s="6">
        <f>AVERAGE(B61:F61)</f>
        <v/>
      </c>
      <c r="H61" s="8">
        <f>B61-G61</f>
        <v/>
      </c>
    </row>
    <row r="62">
      <c r="A62" s="5" t="inlineStr">
        <is>
          <t>Toffee Nut Frap SMALL</t>
        </is>
      </c>
      <c r="B62" s="6" t="n">
        <v>550000</v>
      </c>
      <c r="C62" s="6" t="inlineStr">
        <is>
          <t>-</t>
        </is>
      </c>
      <c r="D62" s="7" t="inlineStr">
        <is>
          <t>-</t>
        </is>
      </c>
      <c r="E62" s="7" t="inlineStr">
        <is>
          <t>-</t>
        </is>
      </c>
      <c r="F62" s="7" t="inlineStr">
        <is>
          <t>-</t>
        </is>
      </c>
      <c r="G62" s="6">
        <f>AVERAGE(B62:F62)</f>
        <v/>
      </c>
      <c r="H62" s="8">
        <f>B62-G62</f>
        <v/>
      </c>
    </row>
    <row r="63">
      <c r="A63" s="5" t="inlineStr">
        <is>
          <t>Toffee Nut Frap MEDIUM</t>
        </is>
      </c>
      <c r="B63" s="6" t="n">
        <v>700000</v>
      </c>
      <c r="C63" s="6" t="inlineStr">
        <is>
          <t>-</t>
        </is>
      </c>
      <c r="D63" s="7" t="inlineStr">
        <is>
          <t>-</t>
        </is>
      </c>
      <c r="E63" s="7" t="inlineStr">
        <is>
          <t>-</t>
        </is>
      </c>
      <c r="F63" s="7" t="inlineStr">
        <is>
          <t>-</t>
        </is>
      </c>
      <c r="G63" s="6">
        <f>AVERAGE(B63:F63)</f>
        <v/>
      </c>
      <c r="H63" s="8">
        <f>B63-G63</f>
        <v/>
      </c>
    </row>
    <row r="64">
      <c r="A64" s="5" t="inlineStr">
        <is>
          <t>Toffee Nut Frap LARGE</t>
        </is>
      </c>
      <c r="B64" s="6" t="n">
        <v>800000</v>
      </c>
      <c r="C64" s="6" t="inlineStr">
        <is>
          <t>-</t>
        </is>
      </c>
      <c r="D64" s="7" t="inlineStr">
        <is>
          <t>-</t>
        </is>
      </c>
      <c r="E64" s="7" t="inlineStr">
        <is>
          <t>-</t>
        </is>
      </c>
      <c r="F64" s="7" t="inlineStr">
        <is>
          <t>-</t>
        </is>
      </c>
      <c r="G64" s="6">
        <f>AVERAGE(B64:F64)</f>
        <v/>
      </c>
      <c r="H64" s="8">
        <f>B64-G64</f>
        <v/>
      </c>
    </row>
    <row r="65">
      <c r="A65" s="5" t="inlineStr">
        <is>
          <t>Salted Caramel Cream SMALL</t>
        </is>
      </c>
      <c r="B65" s="6" t="n">
        <v>550000</v>
      </c>
      <c r="C65" s="7" t="inlineStr">
        <is>
          <t>-</t>
        </is>
      </c>
      <c r="D65" s="7" t="inlineStr">
        <is>
          <t>-</t>
        </is>
      </c>
      <c r="E65" s="7" t="inlineStr">
        <is>
          <t>-</t>
        </is>
      </c>
      <c r="F65" s="7" t="inlineStr">
        <is>
          <t>-</t>
        </is>
      </c>
      <c r="G65" s="6">
        <f>AVERAGE(B65:F65)</f>
        <v/>
      </c>
      <c r="H65" s="8">
        <f>B65-G65</f>
        <v/>
      </c>
    </row>
    <row r="66">
      <c r="A66" s="5" t="inlineStr">
        <is>
          <t>Salted Caramel Cream MEDIUM</t>
        </is>
      </c>
      <c r="B66" s="6" t="n">
        <v>700000</v>
      </c>
      <c r="C66" s="6" t="inlineStr">
        <is>
          <t>-</t>
        </is>
      </c>
      <c r="D66" s="7" t="inlineStr">
        <is>
          <t>-</t>
        </is>
      </c>
      <c r="E66" s="6" t="n">
        <v>662300</v>
      </c>
      <c r="F66" s="7" t="inlineStr">
        <is>
          <t>-</t>
        </is>
      </c>
      <c r="G66" s="6">
        <f>AVERAGE(B66:F66)</f>
        <v/>
      </c>
      <c r="H66" s="8">
        <f>B66-G66</f>
        <v/>
      </c>
    </row>
    <row r="67">
      <c r="A67" s="5" t="inlineStr">
        <is>
          <t>Salted Caramel Cream LARGE</t>
        </is>
      </c>
      <c r="B67" s="6" t="n">
        <v>800000</v>
      </c>
      <c r="C67" s="6" t="inlineStr">
        <is>
          <t>-</t>
        </is>
      </c>
      <c r="D67" s="7" t="inlineStr">
        <is>
          <t>-</t>
        </is>
      </c>
      <c r="E67" s="6" t="n">
        <v>698100</v>
      </c>
      <c r="F67" s="7" t="inlineStr">
        <is>
          <t>-</t>
        </is>
      </c>
      <c r="G67" s="6">
        <f>AVERAGE(B67:F67)</f>
        <v/>
      </c>
      <c r="H67" s="8">
        <f>B67-G67</f>
        <v/>
      </c>
    </row>
    <row r="68">
      <c r="A68" s="5" t="inlineStr">
        <is>
          <t>Spanish Latte SMALL</t>
        </is>
      </c>
      <c r="B68" s="6" t="n">
        <v>600000</v>
      </c>
      <c r="C68" s="7" t="inlineStr">
        <is>
          <t>-</t>
        </is>
      </c>
      <c r="D68" s="7" t="inlineStr">
        <is>
          <t>-</t>
        </is>
      </c>
      <c r="E68" s="6" t="n">
        <v>733900</v>
      </c>
      <c r="F68" s="7" t="inlineStr">
        <is>
          <t>-</t>
        </is>
      </c>
      <c r="G68" s="6">
        <f>AVERAGE(B68:F68)</f>
        <v/>
      </c>
      <c r="H68" s="9">
        <f>B68-G68</f>
        <v/>
      </c>
    </row>
    <row r="69">
      <c r="A69" s="5" t="inlineStr">
        <is>
          <t>Spanish Latte MEDIUM</t>
        </is>
      </c>
      <c r="B69" s="6" t="n">
        <v>750000</v>
      </c>
      <c r="C69" s="6" t="n">
        <v>850000</v>
      </c>
      <c r="D69" s="6" t="n">
        <v>576000</v>
      </c>
      <c r="E69" s="6" t="n">
        <v>778650</v>
      </c>
      <c r="F69" s="7" t="inlineStr">
        <is>
          <t>-</t>
        </is>
      </c>
      <c r="G69" s="6">
        <f>AVERAGE(B69:F69)</f>
        <v/>
      </c>
      <c r="H69" s="9">
        <f>B69-G69</f>
        <v/>
      </c>
    </row>
    <row r="70" ht="22.5" customHeight="1">
      <c r="A70" s="13" t="inlineStr">
        <is>
          <t>Mixed Cold Beverages</t>
        </is>
      </c>
      <c r="B70" s="14" t="n"/>
      <c r="C70" s="14" t="n"/>
      <c r="D70" s="14" t="n"/>
      <c r="E70" s="14" t="n"/>
      <c r="F70" s="14" t="n"/>
      <c r="G70" s="14" t="n"/>
      <c r="H70" s="15" t="n"/>
    </row>
    <row r="71">
      <c r="A71" s="5" t="inlineStr">
        <is>
          <t>Iced Latte SMALL</t>
        </is>
      </c>
      <c r="B71" s="6" t="n">
        <v>500000</v>
      </c>
      <c r="C71" s="7" t="inlineStr">
        <is>
          <t>-</t>
        </is>
      </c>
      <c r="D71" s="6" t="n">
        <v>486000</v>
      </c>
      <c r="E71" s="7" t="inlineStr">
        <is>
          <t>-</t>
        </is>
      </c>
      <c r="F71" s="6" t="inlineStr">
        <is>
          <t>-</t>
        </is>
      </c>
      <c r="G71" s="6">
        <f>AVERAGE(B71:F71)</f>
        <v/>
      </c>
      <c r="H71" s="8">
        <f>B71-G71</f>
        <v/>
      </c>
    </row>
    <row r="72">
      <c r="A72" s="5" t="inlineStr">
        <is>
          <t>Iced Latte MEDIUM</t>
        </is>
      </c>
      <c r="B72" s="6" t="n">
        <v>650000</v>
      </c>
      <c r="C72" s="6" t="n">
        <v>750000</v>
      </c>
      <c r="D72" s="6" t="n">
        <v>621000</v>
      </c>
      <c r="E72" s="6" t="n">
        <v>554900</v>
      </c>
      <c r="F72" s="6" t="n">
        <v>500000</v>
      </c>
      <c r="G72" s="6">
        <f>AVERAGE(B72:F72)</f>
        <v/>
      </c>
      <c r="H72" s="8">
        <f>B72-G72</f>
        <v/>
      </c>
    </row>
    <row r="73">
      <c r="A73" s="5" t="inlineStr">
        <is>
          <t>Iced Latte LARGE</t>
        </is>
      </c>
      <c r="B73" s="6" t="n">
        <v>700000</v>
      </c>
      <c r="C73" s="6" t="n">
        <v>850000</v>
      </c>
      <c r="D73" s="6" t="n">
        <v>711000</v>
      </c>
      <c r="E73" s="6" t="n">
        <v>599650</v>
      </c>
      <c r="F73" s="6" t="n">
        <v>600000</v>
      </c>
      <c r="G73" s="6">
        <f>AVERAGE(B73:F73)</f>
        <v/>
      </c>
      <c r="H73" s="8">
        <f>B73-G73</f>
        <v/>
      </c>
    </row>
    <row r="74">
      <c r="A74" s="5" t="inlineStr">
        <is>
          <t>Iced Spanish Latte SMALL</t>
        </is>
      </c>
      <c r="B74" s="6" t="n">
        <v>550000</v>
      </c>
      <c r="C74" s="7" t="inlineStr">
        <is>
          <t>-</t>
        </is>
      </c>
      <c r="D74" s="7" t="inlineStr">
        <is>
          <t>-</t>
        </is>
      </c>
      <c r="E74" s="6" t="n">
        <v>733900</v>
      </c>
      <c r="F74" s="6" t="n">
        <v>550000</v>
      </c>
      <c r="G74" s="6">
        <f>AVERAGE(B74:F74)</f>
        <v/>
      </c>
      <c r="H74" s="9">
        <f>B74-G74</f>
        <v/>
      </c>
    </row>
    <row r="75">
      <c r="A75" s="5" t="inlineStr">
        <is>
          <t>Iced Spanish Latte MEDIUM</t>
        </is>
      </c>
      <c r="B75" s="6" t="n">
        <v>750000</v>
      </c>
      <c r="C75" s="7" t="inlineStr">
        <is>
          <t>-</t>
        </is>
      </c>
      <c r="D75" s="6" t="n">
        <v>666000</v>
      </c>
      <c r="E75" s="6" t="n">
        <v>778650</v>
      </c>
      <c r="F75" s="6" t="n">
        <v>650000</v>
      </c>
      <c r="G75" s="6">
        <f>AVERAGE(B75:F75)</f>
        <v/>
      </c>
      <c r="H75" s="9">
        <f>B75-G75</f>
        <v/>
      </c>
    </row>
    <row r="76">
      <c r="A76" s="5" t="inlineStr">
        <is>
          <t>Iced Double Shot Toffee Nut SMALL</t>
        </is>
      </c>
      <c r="B76" s="6" t="n">
        <v>550000</v>
      </c>
      <c r="C76" s="7" t="inlineStr">
        <is>
          <t>-</t>
        </is>
      </c>
      <c r="D76" s="6" t="inlineStr">
        <is>
          <t>-</t>
        </is>
      </c>
      <c r="E76" s="7" t="inlineStr">
        <is>
          <t>-</t>
        </is>
      </c>
      <c r="F76" s="7" t="inlineStr">
        <is>
          <t>-</t>
        </is>
      </c>
      <c r="G76" s="6">
        <f>AVERAGE(B76:F76)</f>
        <v/>
      </c>
      <c r="H76" s="8">
        <f>B76-G76</f>
        <v/>
      </c>
    </row>
    <row r="77">
      <c r="A77" s="5" t="inlineStr">
        <is>
          <t>Iced Double Shot Toffee Nut MEDIUM</t>
        </is>
      </c>
      <c r="B77" s="6" t="n">
        <v>700000</v>
      </c>
      <c r="C77" s="7" t="inlineStr">
        <is>
          <t>-</t>
        </is>
      </c>
      <c r="D77" s="6" t="inlineStr">
        <is>
          <t>-</t>
        </is>
      </c>
      <c r="E77" s="7" t="inlineStr">
        <is>
          <t>-</t>
        </is>
      </c>
      <c r="F77" s="7" t="inlineStr">
        <is>
          <t>-</t>
        </is>
      </c>
      <c r="G77" s="6">
        <f>AVERAGE(B77:F77)</f>
        <v/>
      </c>
      <c r="H77" s="8">
        <f>B77-G77</f>
        <v/>
      </c>
    </row>
    <row r="78">
      <c r="A78" s="5" t="inlineStr">
        <is>
          <t>Iced Double Shot Toffee Nut LARGE</t>
        </is>
      </c>
      <c r="B78" s="6" t="n">
        <v>800000</v>
      </c>
      <c r="C78" s="7" t="inlineStr">
        <is>
          <t>-</t>
        </is>
      </c>
      <c r="D78" s="6" t="inlineStr">
        <is>
          <t>-</t>
        </is>
      </c>
      <c r="E78" s="7" t="inlineStr">
        <is>
          <t>-</t>
        </is>
      </c>
      <c r="F78" s="7" t="inlineStr">
        <is>
          <t>-</t>
        </is>
      </c>
      <c r="G78" s="6">
        <f>AVERAGE(B78:F78)</f>
        <v/>
      </c>
      <c r="H78" s="8">
        <f>B78-G78</f>
        <v/>
      </c>
    </row>
    <row r="79">
      <c r="A79" s="5" t="inlineStr">
        <is>
          <t>Iced Toffee Nut Latte SMALL</t>
        </is>
      </c>
      <c r="B79" s="6" t="n">
        <v>550000</v>
      </c>
      <c r="C79" s="7" t="inlineStr">
        <is>
          <t>-</t>
        </is>
      </c>
      <c r="D79" s="6" t="inlineStr">
        <is>
          <t>-</t>
        </is>
      </c>
      <c r="E79" s="7" t="inlineStr">
        <is>
          <t>-</t>
        </is>
      </c>
      <c r="F79" s="7" t="inlineStr">
        <is>
          <t>-</t>
        </is>
      </c>
      <c r="G79" s="6">
        <f>AVERAGE(B79:F79)</f>
        <v/>
      </c>
      <c r="H79" s="8">
        <f>B79-G79</f>
        <v/>
      </c>
    </row>
    <row r="80">
      <c r="A80" s="5" t="inlineStr">
        <is>
          <t>Iced Toffee Nut Latte MEDIUM</t>
        </is>
      </c>
      <c r="B80" s="6" t="n">
        <v>700000</v>
      </c>
      <c r="C80" s="7" t="inlineStr">
        <is>
          <t>-</t>
        </is>
      </c>
      <c r="D80" s="6" t="inlineStr">
        <is>
          <t>-</t>
        </is>
      </c>
      <c r="E80" s="7" t="inlineStr">
        <is>
          <t>-</t>
        </is>
      </c>
      <c r="F80" s="7" t="inlineStr">
        <is>
          <t>-</t>
        </is>
      </c>
      <c r="G80" s="6">
        <f>AVERAGE(B80:F80)</f>
        <v/>
      </c>
      <c r="H80" s="8">
        <f>B80-G80</f>
        <v/>
      </c>
    </row>
    <row r="81">
      <c r="A81" s="5" t="inlineStr">
        <is>
          <t>Iced Toffee Nut Latte LARGE</t>
        </is>
      </c>
      <c r="B81" s="6" t="n">
        <v>800000</v>
      </c>
      <c r="C81" s="7" t="inlineStr">
        <is>
          <t>-</t>
        </is>
      </c>
      <c r="D81" s="6" t="inlineStr">
        <is>
          <t>-</t>
        </is>
      </c>
      <c r="E81" s="7" t="inlineStr">
        <is>
          <t>-</t>
        </is>
      </c>
      <c r="F81" s="7" t="inlineStr">
        <is>
          <t>-</t>
        </is>
      </c>
      <c r="G81" s="6">
        <f>AVERAGE(B81:F81)</f>
        <v/>
      </c>
      <c r="H81" s="8">
        <f>B81-G81</f>
        <v/>
      </c>
    </row>
    <row r="82">
      <c r="A82" s="5" t="inlineStr">
        <is>
          <t>Iced Salted Caramel Latte SMALL</t>
        </is>
      </c>
      <c r="B82" s="6" t="n">
        <v>550000</v>
      </c>
      <c r="C82" s="7" t="inlineStr">
        <is>
          <t>-</t>
        </is>
      </c>
      <c r="D82" s="6" t="inlineStr">
        <is>
          <t>-</t>
        </is>
      </c>
      <c r="E82" s="7" t="inlineStr">
        <is>
          <t>-</t>
        </is>
      </c>
      <c r="F82" s="7" t="inlineStr">
        <is>
          <t>-</t>
        </is>
      </c>
      <c r="G82" s="6">
        <f>AVERAGE(B82:F82)</f>
        <v/>
      </c>
      <c r="H82" s="8">
        <f>B82-G82</f>
        <v/>
      </c>
    </row>
    <row r="83">
      <c r="A83" s="5" t="inlineStr">
        <is>
          <t>Iced Salted Caramel Latte MEDIUM</t>
        </is>
      </c>
      <c r="B83" s="6" t="n">
        <v>700000</v>
      </c>
      <c r="C83" s="6" t="n">
        <v>800000</v>
      </c>
      <c r="D83" s="7" t="inlineStr">
        <is>
          <t>-</t>
        </is>
      </c>
      <c r="E83" s="6" t="n">
        <v>662300</v>
      </c>
      <c r="F83" s="7" t="inlineStr">
        <is>
          <t>-</t>
        </is>
      </c>
      <c r="G83" s="6">
        <f>AVERAGE(B83:F83)</f>
        <v/>
      </c>
      <c r="H83" s="9">
        <f>B83-G83</f>
        <v/>
      </c>
    </row>
    <row r="84">
      <c r="A84" s="5" t="inlineStr">
        <is>
          <t>Iced Salted Caramel Latte LARGE</t>
        </is>
      </c>
      <c r="B84" s="6" t="n">
        <v>800000</v>
      </c>
      <c r="C84" s="6" t="n">
        <v>900000</v>
      </c>
      <c r="D84" s="7" t="inlineStr">
        <is>
          <t>-</t>
        </is>
      </c>
      <c r="E84" s="6" t="n">
        <v>698100</v>
      </c>
      <c r="F84" s="7" t="inlineStr">
        <is>
          <t>-</t>
        </is>
      </c>
      <c r="G84" s="6">
        <f>AVERAGE(B84:F84)</f>
        <v/>
      </c>
      <c r="H84" s="8">
        <f>B84-G84</f>
        <v/>
      </c>
    </row>
    <row r="85">
      <c r="A85" s="5" t="inlineStr">
        <is>
          <t>Iced White Mocha SMALL</t>
        </is>
      </c>
      <c r="B85" s="6" t="n">
        <v>550000</v>
      </c>
      <c r="C85" s="7" t="inlineStr">
        <is>
          <t>-</t>
        </is>
      </c>
      <c r="D85" s="6" t="n">
        <v>666000</v>
      </c>
      <c r="E85" s="7" t="inlineStr">
        <is>
          <t>-</t>
        </is>
      </c>
      <c r="F85" s="6" t="inlineStr">
        <is>
          <t>-</t>
        </is>
      </c>
      <c r="G85" s="6">
        <f>AVERAGE(B85:F85)</f>
        <v/>
      </c>
      <c r="H85" s="9">
        <f>B85-G85</f>
        <v/>
      </c>
    </row>
    <row r="86">
      <c r="A86" s="5" t="inlineStr">
        <is>
          <t>Iced White Mocha MEDIUM</t>
        </is>
      </c>
      <c r="B86" s="6" t="n">
        <v>700000</v>
      </c>
      <c r="C86" s="6" t="n">
        <v>800000</v>
      </c>
      <c r="D86" s="6" t="n">
        <v>756000</v>
      </c>
      <c r="E86" s="7" t="inlineStr">
        <is>
          <t>-</t>
        </is>
      </c>
      <c r="F86" s="6" t="n">
        <v>550000</v>
      </c>
      <c r="G86" s="6">
        <f>AVERAGE(B86:F86)</f>
        <v/>
      </c>
      <c r="H86" s="8">
        <f>B86-G86</f>
        <v/>
      </c>
    </row>
    <row r="87">
      <c r="A87" s="5" t="inlineStr">
        <is>
          <t>Iced White Mocha LARGE</t>
        </is>
      </c>
      <c r="B87" s="6" t="n">
        <v>800000</v>
      </c>
      <c r="C87" s="6" t="n">
        <v>900000</v>
      </c>
      <c r="D87" s="6" t="n">
        <v>846000</v>
      </c>
      <c r="E87" s="7" t="inlineStr">
        <is>
          <t>-</t>
        </is>
      </c>
      <c r="F87" s="6" t="n">
        <v>650000</v>
      </c>
      <c r="G87" s="6">
        <f>AVERAGE(B87:F87)</f>
        <v/>
      </c>
      <c r="H87" s="8">
        <f>B87-G87</f>
        <v/>
      </c>
    </row>
    <row r="88">
      <c r="A88" s="5" t="inlineStr">
        <is>
          <t>Iced Caramel Macchiato SMALL</t>
        </is>
      </c>
      <c r="B88" s="6" t="n">
        <v>550000</v>
      </c>
      <c r="C88" s="7" t="inlineStr">
        <is>
          <t>-</t>
        </is>
      </c>
      <c r="D88" s="7" t="inlineStr">
        <is>
          <t>-</t>
        </is>
      </c>
      <c r="E88" s="7" t="inlineStr">
        <is>
          <t>-</t>
        </is>
      </c>
      <c r="F88" s="7" t="inlineStr">
        <is>
          <t>-</t>
        </is>
      </c>
      <c r="G88" s="6">
        <f>AVERAGE(B88:F88)</f>
        <v/>
      </c>
      <c r="H88" s="8">
        <f>B88-G88</f>
        <v/>
      </c>
    </row>
    <row r="89">
      <c r="A89" s="5" t="inlineStr">
        <is>
          <t>Iced Caramel Macchiato MEDIUM</t>
        </is>
      </c>
      <c r="B89" s="6" t="n">
        <v>700000</v>
      </c>
      <c r="C89" s="7" t="inlineStr">
        <is>
          <t>-</t>
        </is>
      </c>
      <c r="D89" s="7" t="inlineStr">
        <is>
          <t>-</t>
        </is>
      </c>
      <c r="E89" s="7" t="inlineStr">
        <is>
          <t>-</t>
        </is>
      </c>
      <c r="F89" s="7" t="inlineStr">
        <is>
          <t>-</t>
        </is>
      </c>
      <c r="G89" s="6">
        <f>AVERAGE(B89:F89)</f>
        <v/>
      </c>
      <c r="H89" s="8">
        <f>B89-G89</f>
        <v/>
      </c>
    </row>
    <row r="90">
      <c r="A90" s="5" t="inlineStr">
        <is>
          <t>Iced Caramel Macchiato LARGE</t>
        </is>
      </c>
      <c r="B90" s="6" t="n">
        <v>850000</v>
      </c>
      <c r="C90" s="7" t="inlineStr">
        <is>
          <t>-</t>
        </is>
      </c>
      <c r="D90" s="7" t="inlineStr">
        <is>
          <t>-</t>
        </is>
      </c>
      <c r="E90" s="7" t="inlineStr">
        <is>
          <t>-</t>
        </is>
      </c>
      <c r="F90" s="7" t="inlineStr">
        <is>
          <t>-</t>
        </is>
      </c>
      <c r="G90" s="6">
        <f>AVERAGE(B90:F90)</f>
        <v/>
      </c>
      <c r="H90" s="8">
        <f>B90-G90</f>
        <v/>
      </c>
    </row>
    <row r="91">
      <c r="A91" s="5" t="inlineStr">
        <is>
          <t>Iced Mocha SMALL</t>
        </is>
      </c>
      <c r="B91" s="6" t="n">
        <v>550000</v>
      </c>
      <c r="C91" s="7" t="inlineStr">
        <is>
          <t>-</t>
        </is>
      </c>
      <c r="D91" s="7" t="inlineStr">
        <is>
          <t>-</t>
        </is>
      </c>
      <c r="E91" s="7" t="inlineStr">
        <is>
          <t>-</t>
        </is>
      </c>
      <c r="F91" s="7" t="inlineStr">
        <is>
          <t>-</t>
        </is>
      </c>
      <c r="G91" s="6">
        <f>AVERAGE(B91:F91)</f>
        <v/>
      </c>
      <c r="H91" s="8">
        <f>B91-G91</f>
        <v/>
      </c>
    </row>
    <row r="92">
      <c r="A92" s="5" t="inlineStr">
        <is>
          <t>Iced Mocha MEDIUM</t>
        </is>
      </c>
      <c r="B92" s="6" t="n">
        <v>700000</v>
      </c>
      <c r="C92" s="7" t="inlineStr">
        <is>
          <t>-</t>
        </is>
      </c>
      <c r="D92" s="7" t="inlineStr">
        <is>
          <t>-</t>
        </is>
      </c>
      <c r="E92" s="6" t="n">
        <v>608600</v>
      </c>
      <c r="F92" s="7" t="inlineStr">
        <is>
          <t>-</t>
        </is>
      </c>
      <c r="G92" s="6">
        <f>AVERAGE(B92:F92)</f>
        <v/>
      </c>
      <c r="H92" s="8">
        <f>B92-G92</f>
        <v/>
      </c>
    </row>
    <row r="93">
      <c r="A93" s="5" t="inlineStr">
        <is>
          <t>Iced Mocha LARGE</t>
        </is>
      </c>
      <c r="B93" s="6" t="n">
        <v>800000</v>
      </c>
      <c r="C93" s="7" t="inlineStr">
        <is>
          <t>-</t>
        </is>
      </c>
      <c r="D93" s="7" t="inlineStr">
        <is>
          <t>-</t>
        </is>
      </c>
      <c r="E93" s="6" t="n">
        <v>662300</v>
      </c>
      <c r="F93" s="7" t="inlineStr">
        <is>
          <t>-</t>
        </is>
      </c>
      <c r="G93" s="6">
        <f>AVERAGE(B93:F93)</f>
        <v/>
      </c>
      <c r="H93" s="8">
        <f>B93-G93</f>
        <v/>
      </c>
    </row>
    <row r="94">
      <c r="A94" s="5" t="inlineStr">
        <is>
          <t>Double Shot Shaken SMALL</t>
        </is>
      </c>
      <c r="B94" s="6" t="n">
        <v>550000</v>
      </c>
      <c r="C94" s="7" t="inlineStr">
        <is>
          <t>-</t>
        </is>
      </c>
      <c r="D94" s="7" t="inlineStr">
        <is>
          <t>-</t>
        </is>
      </c>
      <c r="E94" s="7" t="inlineStr">
        <is>
          <t>-</t>
        </is>
      </c>
      <c r="F94" s="7" t="inlineStr">
        <is>
          <t>-</t>
        </is>
      </c>
      <c r="G94" s="6">
        <f>AVERAGE(B94:F94)</f>
        <v/>
      </c>
      <c r="H94" s="8">
        <f>B94-G94</f>
        <v/>
      </c>
    </row>
    <row r="95">
      <c r="A95" s="5" t="inlineStr">
        <is>
          <t>Double Shot Shaken MEDIUM</t>
        </is>
      </c>
      <c r="B95" s="6" t="n">
        <v>700000</v>
      </c>
      <c r="C95" s="7" t="inlineStr">
        <is>
          <t>-</t>
        </is>
      </c>
      <c r="D95" s="7" t="inlineStr">
        <is>
          <t>-</t>
        </is>
      </c>
      <c r="E95" s="7" t="inlineStr">
        <is>
          <t>-</t>
        </is>
      </c>
      <c r="F95" s="7" t="inlineStr">
        <is>
          <t>-</t>
        </is>
      </c>
      <c r="G95" s="6">
        <f>AVERAGE(B95:F95)</f>
        <v/>
      </c>
      <c r="H95" s="8">
        <f>B95-G95</f>
        <v/>
      </c>
    </row>
    <row r="96">
      <c r="A96" s="5" t="inlineStr">
        <is>
          <t>Double Shot Shaken LARGE</t>
        </is>
      </c>
      <c r="B96" s="6" t="n">
        <v>800000</v>
      </c>
      <c r="C96" s="7" t="inlineStr">
        <is>
          <t>-</t>
        </is>
      </c>
      <c r="D96" s="7" t="inlineStr">
        <is>
          <t>-</t>
        </is>
      </c>
      <c r="E96" s="7" t="inlineStr">
        <is>
          <t>-</t>
        </is>
      </c>
      <c r="F96" s="7" t="inlineStr">
        <is>
          <t>-</t>
        </is>
      </c>
      <c r="G96" s="6">
        <f>AVERAGE(B96:F96)</f>
        <v/>
      </c>
      <c r="H96" s="8">
        <f>B96-G96</f>
        <v/>
      </c>
    </row>
    <row r="97">
      <c r="A97" s="5" t="inlineStr">
        <is>
          <t>Steamed Milk SMALL</t>
        </is>
      </c>
      <c r="B97" s="6" t="n">
        <v>400000</v>
      </c>
      <c r="C97" s="7" t="inlineStr">
        <is>
          <t>-</t>
        </is>
      </c>
      <c r="D97" s="7" t="inlineStr">
        <is>
          <t>-</t>
        </is>
      </c>
      <c r="E97" s="7" t="inlineStr">
        <is>
          <t>-</t>
        </is>
      </c>
      <c r="F97" s="7" t="inlineStr">
        <is>
          <t>-</t>
        </is>
      </c>
      <c r="G97" s="6">
        <f>AVERAGE(B97:F97)</f>
        <v/>
      </c>
      <c r="H97" s="8">
        <f>B97-G97</f>
        <v/>
      </c>
    </row>
    <row r="98">
      <c r="A98" s="5" t="inlineStr">
        <is>
          <t>Steamed Milk MEDIUM</t>
        </is>
      </c>
      <c r="B98" s="6" t="n">
        <v>500000</v>
      </c>
      <c r="C98" s="7" t="inlineStr">
        <is>
          <t>-</t>
        </is>
      </c>
      <c r="D98" s="7" t="inlineStr">
        <is>
          <t>-</t>
        </is>
      </c>
      <c r="E98" s="7" t="inlineStr">
        <is>
          <t>-</t>
        </is>
      </c>
      <c r="F98" s="7" t="inlineStr">
        <is>
          <t>-</t>
        </is>
      </c>
      <c r="G98" s="6">
        <f>AVERAGE(B98:F98)</f>
        <v/>
      </c>
      <c r="H98" s="8">
        <f>B98-G98</f>
        <v/>
      </c>
    </row>
    <row r="99">
      <c r="A99" s="5" t="inlineStr">
        <is>
          <t>Steamed Milk LARGE</t>
        </is>
      </c>
      <c r="B99" s="6" t="n">
        <v>600000</v>
      </c>
      <c r="C99" s="7" t="inlineStr">
        <is>
          <t>-</t>
        </is>
      </c>
      <c r="D99" s="7" t="inlineStr">
        <is>
          <t>-</t>
        </is>
      </c>
      <c r="E99" s="7" t="inlineStr">
        <is>
          <t>-</t>
        </is>
      </c>
      <c r="F99" s="7" t="inlineStr">
        <is>
          <t>-</t>
        </is>
      </c>
      <c r="G99" s="6">
        <f>AVERAGE(B99:F99)</f>
        <v/>
      </c>
      <c r="H99" s="8">
        <f>B99-G99</f>
        <v/>
      </c>
    </row>
    <row r="100" ht="22.5" customHeight="1">
      <c r="A100" s="13" t="inlineStr">
        <is>
          <t>Signature</t>
        </is>
      </c>
      <c r="B100" s="14" t="n"/>
      <c r="C100" s="14" t="n"/>
      <c r="D100" s="14" t="n"/>
      <c r="E100" s="14" t="n"/>
      <c r="F100" s="14" t="n"/>
      <c r="G100" s="14" t="n"/>
      <c r="H100" s="15" t="n"/>
    </row>
    <row r="101">
      <c r="A101" s="5" t="inlineStr">
        <is>
          <t>Signature Iced Chocolate SMALL</t>
        </is>
      </c>
      <c r="B101" s="6" t="n">
        <v>550000</v>
      </c>
      <c r="C101" s="7" t="inlineStr">
        <is>
          <t>-</t>
        </is>
      </c>
      <c r="D101" s="7" t="inlineStr">
        <is>
          <t>-</t>
        </is>
      </c>
      <c r="E101" s="7" t="inlineStr">
        <is>
          <t>-</t>
        </is>
      </c>
      <c r="F101" s="6" t="n">
        <v>550000</v>
      </c>
      <c r="G101" s="6">
        <f>AVERAGE(B101:F101)</f>
        <v/>
      </c>
      <c r="H101" s="8">
        <f>B101-G101</f>
        <v/>
      </c>
    </row>
    <row r="102">
      <c r="A102" s="5" t="inlineStr">
        <is>
          <t>Signature Iced Chocolate MEDIUM</t>
        </is>
      </c>
      <c r="B102" s="6" t="n">
        <v>700000</v>
      </c>
      <c r="C102" s="6" t="n">
        <v>650000</v>
      </c>
      <c r="D102" s="7" t="inlineStr">
        <is>
          <t>-</t>
        </is>
      </c>
      <c r="E102" s="7" t="inlineStr">
        <is>
          <t>-</t>
        </is>
      </c>
      <c r="F102" s="6" t="n">
        <v>600000</v>
      </c>
      <c r="G102" s="6">
        <f>AVERAGE(B102:F102)</f>
        <v/>
      </c>
      <c r="H102" s="8">
        <f>B102-G102</f>
        <v/>
      </c>
    </row>
    <row r="103">
      <c r="A103" s="5" t="inlineStr">
        <is>
          <t>Signature Iced Chocolate LARGE</t>
        </is>
      </c>
      <c r="B103" s="6" t="n">
        <v>800000</v>
      </c>
      <c r="C103" s="6" t="n">
        <v>750000</v>
      </c>
      <c r="D103" s="7" t="inlineStr">
        <is>
          <t>-</t>
        </is>
      </c>
      <c r="E103" s="7" t="inlineStr">
        <is>
          <t>-</t>
        </is>
      </c>
      <c r="F103" s="6" t="n">
        <v>650000</v>
      </c>
      <c r="G103" s="6">
        <f>AVERAGE(B103:F103)</f>
        <v/>
      </c>
      <c r="H103" s="8">
        <f>B103-G103</f>
        <v/>
      </c>
    </row>
    <row r="104" ht="20.25" customHeight="1">
      <c r="A104" s="13" t="inlineStr">
        <is>
          <t>Protein Shakes</t>
        </is>
      </c>
      <c r="B104" s="14" t="n"/>
      <c r="C104" s="14" t="n"/>
      <c r="D104" s="14" t="n"/>
      <c r="E104" s="14" t="n"/>
      <c r="F104" s="14" t="n"/>
      <c r="G104" s="14" t="n"/>
      <c r="H104" s="15" t="n"/>
    </row>
    <row r="105">
      <c r="A105" s="5" t="inlineStr">
        <is>
          <t>Strawberry Protein Shake MEDIUM</t>
        </is>
      </c>
      <c r="B105" s="6" t="n">
        <v>750000</v>
      </c>
      <c r="C105" s="7" t="inlineStr">
        <is>
          <t>-</t>
        </is>
      </c>
      <c r="D105" s="7" t="inlineStr">
        <is>
          <t>-</t>
        </is>
      </c>
      <c r="E105" s="6" t="inlineStr">
        <is>
          <t>-</t>
        </is>
      </c>
      <c r="F105" s="7" t="inlineStr">
        <is>
          <t>-</t>
        </is>
      </c>
      <c r="G105" s="6">
        <f>AVERAGE(B105:F105)</f>
        <v/>
      </c>
      <c r="H105" s="11" t="n">
        <v>0</v>
      </c>
    </row>
  </sheetData>
  <mergeCells count="5">
    <mergeCell ref="A70:H70"/>
    <mergeCell ref="A100:H100"/>
    <mergeCell ref="A2:H2"/>
    <mergeCell ref="A104:H104"/>
    <mergeCell ref="A34:H34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Lenovo</dc:creator>
  <dcterms:created xsi:type="dcterms:W3CDTF">2025-06-05T20:11:42Z</dcterms:created>
  <dcterms:modified xsi:type="dcterms:W3CDTF">2026-07-30T21:32:56Z</dcterms:modified>
  <cp:lastModifiedBy>different</cp:lastModifiedBy>
  <cp:lastPrinted>2026-03-26T08:42:09Z</cp:lastPrinted>
</cp:coreProperties>
</file>