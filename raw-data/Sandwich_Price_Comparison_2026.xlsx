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omparison" sheetId="1" state="visible" r:id="rId1"/>
    <sheet xmlns:r="http://schemas.openxmlformats.org/officeDocument/2006/relationships" name="Bakery Ins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335C8D"/>
        <bgColor rgb="00335C8D"/>
      </patternFill>
    </fill>
    <fill>
      <patternFill patternType="solid">
        <fgColor rgb="00FFFFFF"/>
        <bgColor rgb="00FFFFFF"/>
      </patternFill>
    </fill>
    <fill>
      <patternFill patternType="solid">
        <fgColor rgb="00F4F7FA"/>
        <bgColor rgb="00F4F7FA"/>
      </patternFill>
    </fill>
    <fill>
      <patternFill patternType="solid">
        <fgColor rgb="00E9EFF5"/>
        <bgColor rgb="00E9EFF5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center" vertical="center"/>
    </xf>
    <xf numFmtId="3" fontId="5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20" customWidth="1" min="4" max="4"/>
    <col width="20" customWidth="1" min="5" max="5"/>
    <col width="23" customWidth="1" min="6" max="6"/>
    <col width="20" customWidth="1" min="7" max="7"/>
    <col width="20" customWidth="1" min="8" max="8"/>
    <col width="21" customWidth="1" min="9" max="9"/>
    <col width="22" customWidth="1" min="10" max="10"/>
  </cols>
  <sheetData>
    <row r="1" ht="25" customHeight="1">
      <c r="A1" s="1" t="inlineStr">
        <is>
          <t>SANDWICH PRICE COMPARISON REPORT</t>
        </is>
      </c>
    </row>
    <row r="2" ht="18" customHeight="1">
      <c r="A2" s="2" t="inlineStr">
        <is>
          <t>Date: 20 July 2026 | Currency: Lebanese Pound (LBP)</t>
        </is>
      </c>
    </row>
    <row r="3"/>
    <row r="4" ht="24" customHeight="1">
      <c r="A4" s="3" t="inlineStr">
        <is>
          <t>Item</t>
        </is>
      </c>
      <c r="B4" s="3" t="inlineStr">
        <is>
          <t>Bread Type</t>
        </is>
      </c>
      <c r="C4" s="3" t="inlineStr">
        <is>
          <t>Pain d'Or (LBP)</t>
        </is>
      </c>
      <c r="D4" s="3" t="inlineStr">
        <is>
          <t>Fakhani (LBP)</t>
        </is>
      </c>
      <c r="E4" s="3" t="inlineStr">
        <is>
          <t>Stories (LBP)</t>
        </is>
      </c>
      <c r="F4" s="3" t="inlineStr">
        <is>
          <t>Wooden Bakery (LBP)</t>
        </is>
      </c>
      <c r="G4" s="3" t="inlineStr">
        <is>
          <t>Min Price</t>
        </is>
      </c>
      <c r="H4" s="3" t="inlineStr">
        <is>
          <t>Max Price</t>
        </is>
      </c>
      <c r="I4" s="3" t="inlineStr">
        <is>
          <t>Average Price</t>
        </is>
      </c>
      <c r="J4" s="3" t="inlineStr">
        <is>
          <t>Lowest Bakery</t>
        </is>
      </c>
    </row>
    <row r="5" ht="20" customHeight="1">
      <c r="A5" s="4" t="inlineStr">
        <is>
          <t>Turkey &amp; Cheese</t>
        </is>
      </c>
      <c r="B5" s="5" t="inlineStr">
        <is>
          <t>White</t>
        </is>
      </c>
      <c r="C5" s="6" t="n">
        <v>712000</v>
      </c>
      <c r="D5" s="6" t="n">
        <v>480000</v>
      </c>
      <c r="E5" s="6" t="n">
        <v>650000</v>
      </c>
      <c r="F5" s="6" t="n">
        <v>605000</v>
      </c>
      <c r="G5" s="7">
        <f>MIN(C5:F5)</f>
        <v/>
      </c>
      <c r="H5" s="6">
        <f>MAX(C5:F5)</f>
        <v/>
      </c>
      <c r="I5" s="6">
        <f>AVERAGE(C5:F5)</f>
        <v/>
      </c>
      <c r="J5" s="8">
        <f>INDEX($C$4:$F$4, 1, MATCH(G5, C5:F5, 0))</f>
        <v/>
      </c>
    </row>
    <row r="6" ht="20" customHeight="1">
      <c r="A6" s="9" t="inlineStr">
        <is>
          <t>Turkey &amp; Cheese</t>
        </is>
      </c>
      <c r="B6" s="10" t="inlineStr">
        <is>
          <t>Whole Wheat</t>
        </is>
      </c>
      <c r="C6" s="11" t="n">
        <v>725000</v>
      </c>
      <c r="D6" s="11" t="n">
        <v>480000</v>
      </c>
      <c r="E6" s="11" t="n">
        <v>700000</v>
      </c>
      <c r="F6" s="11" t="n">
        <v>630000</v>
      </c>
      <c r="G6" s="12">
        <f>MIN(C6:F6)</f>
        <v/>
      </c>
      <c r="H6" s="11">
        <f>MAX(C6:F6)</f>
        <v/>
      </c>
      <c r="I6" s="11">
        <f>AVERAGE(C6:F6)</f>
        <v/>
      </c>
      <c r="J6" s="13">
        <f>INDEX($C$4:$F$4, 1, MATCH(G6, C6:F6, 0))</f>
        <v/>
      </c>
    </row>
    <row r="7" ht="20" customHeight="1">
      <c r="A7" s="4" t="inlineStr">
        <is>
          <t>Halloum</t>
        </is>
      </c>
      <c r="B7" s="5" t="inlineStr">
        <is>
          <t>White</t>
        </is>
      </c>
      <c r="C7" s="6" t="n">
        <v>534000</v>
      </c>
      <c r="D7" s="6" t="n">
        <v>250000</v>
      </c>
      <c r="E7" s="6" t="n">
        <v>550000</v>
      </c>
      <c r="F7" s="6" t="n">
        <v>470000</v>
      </c>
      <c r="G7" s="7">
        <f>MIN(C7:F7)</f>
        <v/>
      </c>
      <c r="H7" s="6">
        <f>MAX(C7:F7)</f>
        <v/>
      </c>
      <c r="I7" s="6">
        <f>AVERAGE(C7:F7)</f>
        <v/>
      </c>
      <c r="J7" s="8">
        <f>INDEX($C$4:$F$4, 1, MATCH(G7, C7:F7, 0))</f>
        <v/>
      </c>
    </row>
    <row r="8" ht="20" customHeight="1">
      <c r="A8" s="9" t="inlineStr">
        <is>
          <t>Halloum</t>
        </is>
      </c>
      <c r="B8" s="10" t="inlineStr">
        <is>
          <t>Whole Wheat</t>
        </is>
      </c>
      <c r="C8" s="11" t="n">
        <v>547000</v>
      </c>
      <c r="D8" s="11" t="n">
        <v>250000</v>
      </c>
      <c r="E8" s="11" t="n">
        <v>600000</v>
      </c>
      <c r="F8" s="11" t="n">
        <v>495000</v>
      </c>
      <c r="G8" s="12">
        <f>MIN(C8:F8)</f>
        <v/>
      </c>
      <c r="H8" s="11">
        <f>MAX(C8:F8)</f>
        <v/>
      </c>
      <c r="I8" s="11">
        <f>AVERAGE(C8:F8)</f>
        <v/>
      </c>
      <c r="J8" s="13">
        <f>INDEX($C$4:$F$4, 1, MATCH(G8, C8:F8, 0))</f>
        <v/>
      </c>
    </row>
    <row r="9" ht="20" customHeight="1">
      <c r="A9" s="4" t="inlineStr">
        <is>
          <t>Tuna</t>
        </is>
      </c>
      <c r="B9" s="5" t="inlineStr">
        <is>
          <t>White</t>
        </is>
      </c>
      <c r="C9" s="6" t="n">
        <v>623000</v>
      </c>
      <c r="D9" s="6" t="n">
        <v>325000</v>
      </c>
      <c r="E9" s="6" t="n">
        <v>600000</v>
      </c>
      <c r="F9" s="6" t="n">
        <v>675000</v>
      </c>
      <c r="G9" s="7">
        <f>MIN(C9:F9)</f>
        <v/>
      </c>
      <c r="H9" s="6">
        <f>MAX(C9:F9)</f>
        <v/>
      </c>
      <c r="I9" s="6">
        <f>AVERAGE(C9:F9)</f>
        <v/>
      </c>
      <c r="J9" s="8">
        <f>INDEX($C$4:$F$4, 1, MATCH(G9, C9:F9, 0))</f>
        <v/>
      </c>
    </row>
    <row r="10" ht="20" customHeight="1">
      <c r="A10" s="9" t="inlineStr">
        <is>
          <t>Tuna</t>
        </is>
      </c>
      <c r="B10" s="10" t="inlineStr">
        <is>
          <t>Whole Wheat</t>
        </is>
      </c>
      <c r="C10" s="11" t="n">
        <v>636000</v>
      </c>
      <c r="D10" s="11" t="n">
        <v>325000</v>
      </c>
      <c r="E10" s="11" t="n">
        <v>650000</v>
      </c>
      <c r="F10" s="11" t="n">
        <v>695000</v>
      </c>
      <c r="G10" s="12">
        <f>MIN(C10:F10)</f>
        <v/>
      </c>
      <c r="H10" s="11">
        <f>MAX(C10:F10)</f>
        <v/>
      </c>
      <c r="I10" s="11">
        <f>AVERAGE(C10:F10)</f>
        <v/>
      </c>
      <c r="J10" s="13">
        <f>INDEX($C$4:$F$4, 1, MATCH(G10, C10:F10, 0))</f>
        <v/>
      </c>
    </row>
    <row r="11" ht="20" customHeight="1">
      <c r="A11" s="4" t="inlineStr">
        <is>
          <t>Labneh</t>
        </is>
      </c>
      <c r="B11" s="5" t="inlineStr">
        <is>
          <t>White</t>
        </is>
      </c>
      <c r="C11" s="6" t="n">
        <v>356000</v>
      </c>
      <c r="D11" s="6" t="n">
        <v>200000</v>
      </c>
      <c r="E11" s="6" t="n">
        <v>500000</v>
      </c>
      <c r="F11" s="6" t="n">
        <v>340000</v>
      </c>
      <c r="G11" s="7">
        <f>MIN(C11:F11)</f>
        <v/>
      </c>
      <c r="H11" s="6">
        <f>MAX(C11:F11)</f>
        <v/>
      </c>
      <c r="I11" s="6">
        <f>AVERAGE(C11:F11)</f>
        <v/>
      </c>
      <c r="J11" s="8">
        <f>INDEX($C$4:$F$4, 1, MATCH(G11, C11:F11, 0))</f>
        <v/>
      </c>
    </row>
    <row r="12" ht="20" customHeight="1">
      <c r="A12" s="9" t="inlineStr">
        <is>
          <t>Labneh</t>
        </is>
      </c>
      <c r="B12" s="10" t="inlineStr">
        <is>
          <t>Whole Wheat</t>
        </is>
      </c>
      <c r="C12" s="11" t="n">
        <v>369000</v>
      </c>
      <c r="D12" s="11" t="n">
        <v>200000</v>
      </c>
      <c r="E12" s="11" t="n">
        <v>550000</v>
      </c>
      <c r="F12" s="11" t="n">
        <v>360000</v>
      </c>
      <c r="G12" s="12">
        <f>MIN(C12:F12)</f>
        <v/>
      </c>
      <c r="H12" s="11">
        <f>MAX(C12:F12)</f>
        <v/>
      </c>
      <c r="I12" s="11">
        <f>AVERAGE(C12:F12)</f>
        <v/>
      </c>
      <c r="J12" s="13">
        <f>INDEX($C$4:$F$4, 1, MATCH(G12, C12:F12, 0))</f>
        <v/>
      </c>
    </row>
    <row r="13" ht="22" customHeight="1">
      <c r="A13" s="14" t="inlineStr">
        <is>
          <t>Average Price</t>
        </is>
      </c>
      <c r="B13" s="15" t="inlineStr">
        <is>
          <t>All Sandwich Types</t>
        </is>
      </c>
      <c r="C13" s="16">
        <f>AVERAGE(C5:C12)</f>
        <v/>
      </c>
      <c r="D13" s="16">
        <f>AVERAGE(D5:D12)</f>
        <v/>
      </c>
      <c r="E13" s="16">
        <f>AVERAGE(E5:E12)</f>
        <v/>
      </c>
      <c r="F13" s="16">
        <f>AVERAGE(F5:F12)</f>
        <v/>
      </c>
      <c r="G13" s="16">
        <f>AVERAGE(G5:G12)</f>
        <v/>
      </c>
      <c r="H13" s="16">
        <f>AVERAGE(H5:H12)</f>
        <v/>
      </c>
      <c r="I13" s="16">
        <f>AVERAGE(I5:I12)</f>
        <v/>
      </c>
      <c r="J13" s="17" t="inlineStr">
        <is>
          <t>Fakhani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8" customWidth="1" min="3" max="3"/>
    <col width="37" customWidth="1" min="4" max="4"/>
    <col width="15" customWidth="1" min="5" max="5"/>
  </cols>
  <sheetData>
    <row r="1" ht="25" customHeight="1">
      <c r="A1" s="1" t="inlineStr">
        <is>
          <t>BAKERY PRICE SUMMARY &amp; ANALYSIS</t>
        </is>
      </c>
    </row>
    <row r="2"/>
    <row r="3" ht="22" customHeight="1">
      <c r="A3" s="18" t="inlineStr">
        <is>
          <t>Bakery</t>
        </is>
      </c>
      <c r="B3" s="18" t="inlineStr">
        <is>
          <t>Average Price (LBP)</t>
        </is>
      </c>
      <c r="C3" s="18" t="inlineStr">
        <is>
          <t>Cheapest Item</t>
        </is>
      </c>
      <c r="D3" s="18" t="inlineStr">
        <is>
          <t>Most Expensive Item</t>
        </is>
      </c>
      <c r="E3" s="18" t="inlineStr">
        <is>
          <t>Price Rank</t>
        </is>
      </c>
    </row>
    <row r="4" ht="20" customHeight="1">
      <c r="A4" s="19" t="inlineStr">
        <is>
          <t>Pain d'Or</t>
        </is>
      </c>
      <c r="B4" s="6">
        <f>AVERAGE('Price Comparison'!C5:C12)</f>
        <v/>
      </c>
      <c r="C4" s="5" t="inlineStr">
        <is>
          <t>Labneh (White) - 356,000</t>
        </is>
      </c>
      <c r="D4" s="5" t="inlineStr">
        <is>
          <t>Turkey &amp; Cheese (Wheat) - 725,000</t>
        </is>
      </c>
      <c r="E4" s="8" t="n">
        <v>3</v>
      </c>
    </row>
    <row r="5" ht="20" customHeight="1">
      <c r="A5" s="20" t="inlineStr">
        <is>
          <t>Fakhani</t>
        </is>
      </c>
      <c r="B5" s="11">
        <f>AVERAGE('Price Comparison'!D5:D12)</f>
        <v/>
      </c>
      <c r="C5" s="10" t="inlineStr">
        <is>
          <t>Labneh (Both) - 200,000</t>
        </is>
      </c>
      <c r="D5" s="10" t="inlineStr">
        <is>
          <t>Turkey &amp; Cheese (Both) - 480,000</t>
        </is>
      </c>
      <c r="E5" s="13" t="n">
        <v>1</v>
      </c>
    </row>
    <row r="6" ht="20" customHeight="1">
      <c r="A6" s="19" t="inlineStr">
        <is>
          <t>Stories</t>
        </is>
      </c>
      <c r="B6" s="6">
        <f>AVERAGE('Price Comparison'!E5:E12)</f>
        <v/>
      </c>
      <c r="C6" s="5" t="inlineStr">
        <is>
          <t>Labneh (White) - 500,000</t>
        </is>
      </c>
      <c r="D6" s="5" t="inlineStr">
        <is>
          <t>Turkey &amp; Cheese (Wheat) - 700,000</t>
        </is>
      </c>
      <c r="E6" s="8" t="n">
        <v>4</v>
      </c>
    </row>
    <row r="7" ht="20" customHeight="1">
      <c r="A7" s="20" t="inlineStr">
        <is>
          <t>Wooden Bakery</t>
        </is>
      </c>
      <c r="B7" s="11">
        <f>AVERAGE('Price Comparison'!F5:F12)</f>
        <v/>
      </c>
      <c r="C7" s="10" t="inlineStr">
        <is>
          <t>Labneh (White) - 340,000</t>
        </is>
      </c>
      <c r="D7" s="10" t="inlineStr">
        <is>
          <t>Tuna (Wheat) - 695,000</t>
        </is>
      </c>
      <c r="E7" s="13" t="n">
        <v>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2026-07-21T06:24:08Z</dcterms:created>
  <dcterms:modified xmlns:dcterms="http://purl.org/dc/terms/" xmlns:xsi="http://www.w3.org/2001/XMLSchema-instance" xsi:type="dcterms:W3CDTF">2026-07-21T06:24:08Z</dcterms:modified>
</cp:coreProperties>
</file>