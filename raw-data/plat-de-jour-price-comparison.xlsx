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Sheet1" sheetId="1" state="visible" r:id="rId1"/>
  </sheets>
  <definedNames/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0"/>
  <fonts count="8">
    <font>
      <name val="Arial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libri"/>
      <charset val="1"/>
      <family val="2"/>
      <b val="1"/>
      <color theme="1"/>
      <sz val="11"/>
    </font>
    <font>
      <name val="Times New Roman"/>
      <family val="1"/>
      <sz val="10"/>
    </font>
    <font>
      <name val="Arial"/>
      <charset val="1"/>
      <family val="0"/>
      <sz val="10"/>
    </font>
    <font>
      <name val="Calibri"/>
      <charset val="1"/>
      <family val="2"/>
      <sz val="12"/>
    </font>
  </fonts>
  <fills count="3">
    <fill>
      <patternFill/>
    </fill>
    <fill>
      <patternFill patternType="gray125"/>
    </fill>
    <fill>
      <patternFill patternType="solid">
        <fgColor theme="9" tint="0.3999"/>
        <bgColor rgb="FFBFBFBF"/>
      </patternFill>
    </fill>
  </fills>
  <borders count="3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/>
      <right style="thin"/>
      <top style="thin"/>
      <bottom style="thin"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22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center" vertical="bottom"/>
    </xf>
    <xf numFmtId="3" fontId="0" fillId="0" borderId="0" applyAlignment="1" pivotButton="0" quotePrefix="0" xfId="0">
      <alignment horizontal="center" vertical="bottom"/>
    </xf>
    <xf numFmtId="0" fontId="4" fillId="2" borderId="0" applyAlignment="1" pivotButton="0" quotePrefix="0" xfId="0">
      <alignment horizontal="center" vertical="bottom"/>
    </xf>
    <xf numFmtId="3" fontId="4" fillId="2" borderId="0" applyAlignment="1" pivotButton="0" quotePrefix="0" xfId="0">
      <alignment horizontal="center" vertical="bottom"/>
    </xf>
    <xf numFmtId="0" fontId="4" fillId="0" borderId="0" applyAlignment="1" pivotButton="0" quotePrefix="0" xfId="0">
      <alignment horizontal="center" vertical="bottom"/>
    </xf>
    <xf numFmtId="0" fontId="4" fillId="2" borderId="0" applyAlignment="1" pivotButton="0" quotePrefix="0" xfId="0">
      <alignment horizontal="center" vertical="center"/>
    </xf>
    <xf numFmtId="3" fontId="5" fillId="0" borderId="0" applyAlignment="1" pivotButton="0" quotePrefix="0" xfId="0">
      <alignment horizontal="center" vertical="bottom" wrapText="1"/>
    </xf>
    <xf numFmtId="0" fontId="6" fillId="0" borderId="1" applyAlignment="1" pivotButton="0" quotePrefix="0" xfId="0">
      <alignment horizontal="right" vertical="bottom"/>
    </xf>
    <xf numFmtId="3" fontId="4" fillId="0" borderId="0" applyAlignment="1" pivotButton="0" quotePrefix="0" xfId="0">
      <alignment horizontal="center" vertical="bottom"/>
    </xf>
    <xf numFmtId="0" fontId="7" fillId="0" borderId="2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bottom"/>
    </xf>
    <xf numFmtId="3" fontId="0" fillId="0" borderId="0" applyAlignment="1" pivotButton="0" quotePrefix="0" xfId="0">
      <alignment horizontal="center" vertical="bottom"/>
    </xf>
    <xf numFmtId="0" fontId="0" fillId="0" borderId="0" pivotButton="0" quotePrefix="0" xfId="0"/>
    <xf numFmtId="0" fontId="4" fillId="2" borderId="0" applyAlignment="1" pivotButton="0" quotePrefix="0" xfId="0">
      <alignment horizontal="center" vertical="bottom"/>
    </xf>
    <xf numFmtId="3" fontId="4" fillId="2" borderId="0" applyAlignment="1" pivotButton="0" quotePrefix="0" xfId="0">
      <alignment horizontal="center" vertical="bottom"/>
    </xf>
    <xf numFmtId="0" fontId="4" fillId="0" borderId="0" applyAlignment="1" pivotButton="0" quotePrefix="0" xfId="0">
      <alignment horizontal="center" vertical="bottom"/>
    </xf>
    <xf numFmtId="0" fontId="4" fillId="2" borderId="0" applyAlignment="1" pivotButton="0" quotePrefix="0" xfId="0">
      <alignment horizontal="center" vertical="center"/>
    </xf>
    <xf numFmtId="3" fontId="5" fillId="0" borderId="0" applyAlignment="1" pivotButton="0" quotePrefix="0" xfId="0">
      <alignment horizontal="center" vertical="bottom" wrapText="1"/>
    </xf>
    <xf numFmtId="0" fontId="6" fillId="0" borderId="1" applyAlignment="1" pivotButton="0" quotePrefix="0" xfId="0">
      <alignment horizontal="right" vertical="bottom"/>
    </xf>
    <xf numFmtId="3" fontId="4" fillId="0" borderId="0" applyAlignment="1" pivotButton="0" quotePrefix="0" xfId="0">
      <alignment horizontal="center" vertical="bottom"/>
    </xf>
    <xf numFmtId="0" fontId="7" fillId="0" borderId="2" applyAlignment="1" pivotButton="0" quotePrefix="0" xfId="0">
      <alignment horizontal="center" vertical="center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1">
    <dxf>
      <font>
        <color rgb="FFFF0000"/>
      </font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A9D18E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J29"/>
  <sheetViews>
    <sheetView showFormulas="0" showGridLines="1" showRowColHeaders="1" showZeros="1" rightToLeft="0" tabSelected="1" showOutlineSymbols="1" defaultGridColor="1" view="normal" topLeftCell="A1" colorId="64" zoomScale="110" zoomScaleNormal="110" zoomScalePageLayoutView="100" workbookViewId="0">
      <selection pane="topLeft" activeCell="D23" activeCellId="0" sqref="D23"/>
    </sheetView>
  </sheetViews>
  <sheetFormatPr baseColWidth="8" defaultColWidth="11.53515625" defaultRowHeight="12.8" zeroHeight="0" outlineLevelRow="0"/>
  <cols>
    <col width="23.53" customWidth="1" style="11" min="1" max="1"/>
    <col width="13.15" customWidth="1" style="11" min="2" max="2"/>
    <col width="17.32" customWidth="1" style="12" min="3" max="3"/>
    <col width="17.07" customWidth="1" style="12" min="4" max="4"/>
    <col width="15.93" customWidth="1" style="12" min="5" max="5"/>
    <col width="14.54" customWidth="1" style="12" min="6" max="6"/>
    <col width="10.75" customWidth="1" style="11" min="7" max="7"/>
    <col width="11.89" customWidth="1" style="11" min="8" max="8"/>
    <col width="11.53" customWidth="1" style="11" min="9" max="16384"/>
  </cols>
  <sheetData>
    <row r="1" ht="16.25" customHeight="1" s="13">
      <c r="A1" s="14" t="inlineStr">
        <is>
          <t>Products Competitors</t>
        </is>
      </c>
      <c r="B1" s="14" t="inlineStr">
        <is>
          <t xml:space="preserve">Stories </t>
        </is>
      </c>
      <c r="C1" s="15" t="inlineStr">
        <is>
          <t>Socrate (Beirut)</t>
        </is>
      </c>
      <c r="D1" s="15" t="inlineStr">
        <is>
          <t>Ana Beirut</t>
        </is>
      </c>
      <c r="E1" s="15" t="inlineStr">
        <is>
          <t>abdel Wahab</t>
        </is>
      </c>
      <c r="F1" s="15" t="inlineStr">
        <is>
          <t>Diwan Beirut</t>
        </is>
      </c>
      <c r="G1" s="14" t="inlineStr">
        <is>
          <t>Average</t>
        </is>
      </c>
      <c r="H1" s="14" t="inlineStr">
        <is>
          <t>Difference</t>
        </is>
      </c>
      <c r="I1" s="16" t="n"/>
      <c r="J1" s="16" t="n"/>
    </row>
    <row r="3" ht="22.5" customHeight="1" s="13">
      <c r="A3" s="17" t="inlineStr">
        <is>
          <t>Plat Du Jour</t>
        </is>
      </c>
    </row>
    <row r="4" ht="16.25" customHeight="1" s="13">
      <c r="A4" s="11" t="inlineStr">
        <is>
          <t>B.B.Q Chicken</t>
        </is>
      </c>
      <c r="B4" s="12" t="n">
        <v>1050000</v>
      </c>
      <c r="C4" s="18" t="inlineStr">
        <is>
          <t>-</t>
        </is>
      </c>
      <c r="D4" s="18" t="inlineStr">
        <is>
          <t>-</t>
        </is>
      </c>
      <c r="E4" s="19" t="inlineStr">
        <is>
          <t>-</t>
        </is>
      </c>
      <c r="F4" s="18" t="inlineStr">
        <is>
          <t>-</t>
        </is>
      </c>
      <c r="G4" s="20">
        <f>AVERAGE(B4:F4)</f>
        <v/>
      </c>
      <c r="H4" s="20">
        <f>B4-G4</f>
        <v/>
      </c>
    </row>
    <row r="5" ht="16.25" customHeight="1" s="13">
      <c r="A5" s="11" t="inlineStr">
        <is>
          <t>Butter Chicken</t>
        </is>
      </c>
      <c r="B5" s="12" t="n">
        <v>1050000</v>
      </c>
      <c r="C5" s="18" t="n">
        <v>1342500</v>
      </c>
      <c r="D5" s="18" t="inlineStr">
        <is>
          <t>-</t>
        </is>
      </c>
      <c r="E5" s="19" t="inlineStr">
        <is>
          <t>-</t>
        </is>
      </c>
      <c r="F5" s="18" t="inlineStr">
        <is>
          <t>-</t>
        </is>
      </c>
      <c r="G5" s="20">
        <f>AVERAGE(B5:F5)</f>
        <v/>
      </c>
      <c r="H5" s="20">
        <f>B5-G5</f>
        <v/>
      </c>
    </row>
    <row r="6" ht="16.25" customHeight="1" s="13">
      <c r="A6" s="11" t="inlineStr">
        <is>
          <t>Chicken Alfredo Pasta</t>
        </is>
      </c>
      <c r="B6" s="12" t="n">
        <v>1165500</v>
      </c>
      <c r="C6" s="18" t="n">
        <v>1342500</v>
      </c>
      <c r="D6" s="18" t="inlineStr">
        <is>
          <t>-</t>
        </is>
      </c>
      <c r="E6" s="19" t="inlineStr">
        <is>
          <t>-</t>
        </is>
      </c>
      <c r="F6" s="18" t="inlineStr">
        <is>
          <t>-</t>
        </is>
      </c>
      <c r="G6" s="20">
        <f>AVERAGE(B6:F6)</f>
        <v/>
      </c>
      <c r="H6" s="20">
        <f>B6-G6</f>
        <v/>
      </c>
    </row>
    <row r="7" ht="16.25" customHeight="1" s="13">
      <c r="A7" s="11" t="inlineStr">
        <is>
          <t>Chicken Stroganoff</t>
        </is>
      </c>
      <c r="B7" s="12" t="n">
        <v>1165500</v>
      </c>
      <c r="C7" s="18" t="n">
        <v>1253000</v>
      </c>
      <c r="D7" s="18" t="inlineStr">
        <is>
          <t>-</t>
        </is>
      </c>
      <c r="E7" s="18" t="n">
        <v>1521500</v>
      </c>
      <c r="F7" s="18" t="inlineStr">
        <is>
          <t>-</t>
        </is>
      </c>
      <c r="G7" s="20">
        <f>AVERAGE(B7:F7)</f>
        <v/>
      </c>
      <c r="H7" s="20">
        <f>B7-G7</f>
        <v/>
      </c>
    </row>
    <row r="8" ht="16.25" customHeight="1" s="13">
      <c r="A8" s="11" t="inlineStr">
        <is>
          <t>Freekeh With Chicken</t>
        </is>
      </c>
      <c r="B8" s="12" t="n">
        <v>1165500</v>
      </c>
      <c r="C8" s="18" t="n">
        <v>1342500</v>
      </c>
      <c r="D8" s="18" t="inlineStr">
        <is>
          <t>-</t>
        </is>
      </c>
      <c r="E8" s="19" t="inlineStr">
        <is>
          <t>-</t>
        </is>
      </c>
      <c r="F8" s="18" t="inlineStr">
        <is>
          <t>-</t>
        </is>
      </c>
      <c r="G8" s="20">
        <f>AVERAGE(B8:F8)</f>
        <v/>
      </c>
      <c r="H8" s="20">
        <f>B8-G8</f>
        <v/>
      </c>
    </row>
    <row r="9" ht="16.25" customHeight="1" s="13">
      <c r="A9" s="11" t="inlineStr">
        <is>
          <t>Kibbeh B Laban</t>
        </is>
      </c>
      <c r="B9" s="12" t="n">
        <v>1165500</v>
      </c>
      <c r="C9" s="18" t="n">
        <v>1253000</v>
      </c>
      <c r="D9" s="18" t="inlineStr">
        <is>
          <t>-</t>
        </is>
      </c>
      <c r="E9" s="19" t="inlineStr">
        <is>
          <t>-</t>
        </is>
      </c>
      <c r="F9" s="18" t="inlineStr">
        <is>
          <t>-</t>
        </is>
      </c>
      <c r="G9" s="20">
        <f>AVERAGE(B9:F9)</f>
        <v/>
      </c>
      <c r="H9" s="20">
        <f>B9-G9</f>
        <v/>
      </c>
    </row>
    <row r="10" ht="16.25" customHeight="1" s="13">
      <c r="A10" s="11" t="inlineStr">
        <is>
          <t>Lasagna</t>
        </is>
      </c>
      <c r="B10" s="12" t="n">
        <v>1165500</v>
      </c>
      <c r="C10" s="18" t="n">
        <v>1253000</v>
      </c>
      <c r="D10" s="18" t="inlineStr">
        <is>
          <t>-</t>
        </is>
      </c>
      <c r="E10" s="19" t="inlineStr">
        <is>
          <t>-</t>
        </is>
      </c>
      <c r="F10" s="18" t="inlineStr">
        <is>
          <t>-</t>
        </is>
      </c>
      <c r="G10" s="20">
        <f>AVERAGE(B10:F10)</f>
        <v/>
      </c>
      <c r="H10" s="20">
        <f>B10-G10</f>
        <v/>
      </c>
    </row>
    <row r="11" ht="16.25" customHeight="1" s="13">
      <c r="A11" s="11" t="inlineStr">
        <is>
          <t>Oriental Rice</t>
        </is>
      </c>
      <c r="B11" s="12" t="n">
        <v>1165500</v>
      </c>
      <c r="C11" s="18" t="n">
        <v>1342500</v>
      </c>
      <c r="D11" s="18" t="inlineStr">
        <is>
          <t>-</t>
        </is>
      </c>
      <c r="E11" s="18" t="n">
        <v>1521500</v>
      </c>
      <c r="F11" s="18" t="inlineStr">
        <is>
          <t>-</t>
        </is>
      </c>
      <c r="G11" s="20">
        <f>AVERAGE(B11:F11)</f>
        <v/>
      </c>
      <c r="H11" s="20">
        <f>B11-G11</f>
        <v/>
      </c>
    </row>
    <row r="12" ht="16.25" customHeight="1" s="13">
      <c r="A12" s="11" t="inlineStr">
        <is>
          <t>Potato Souffle</t>
        </is>
      </c>
      <c r="B12" s="12" t="n">
        <v>1050000</v>
      </c>
      <c r="C12" s="18" t="n"/>
      <c r="D12" s="18" t="inlineStr">
        <is>
          <t>-</t>
        </is>
      </c>
      <c r="E12" s="18" t="n">
        <v>1432000</v>
      </c>
      <c r="F12" s="18" t="n">
        <v>1700500</v>
      </c>
      <c r="G12" s="20">
        <f>AVERAGE(B12:F12)</f>
        <v/>
      </c>
      <c r="H12" s="20">
        <f>B12-G12</f>
        <v/>
      </c>
    </row>
    <row r="13" ht="16.25" customHeight="1" s="13">
      <c r="A13" s="11" t="inlineStr">
        <is>
          <t>Roasted Chicken</t>
        </is>
      </c>
      <c r="B13" s="12" t="n">
        <v>1050000</v>
      </c>
      <c r="C13" s="18" t="n">
        <v>1253000</v>
      </c>
      <c r="D13" s="18" t="inlineStr">
        <is>
          <t>-</t>
        </is>
      </c>
      <c r="E13" s="19" t="inlineStr">
        <is>
          <t>-</t>
        </is>
      </c>
      <c r="F13" s="18" t="inlineStr">
        <is>
          <t>-</t>
        </is>
      </c>
      <c r="G13" s="20">
        <f>AVERAGE(B13:F13)</f>
        <v/>
      </c>
      <c r="H13" s="20">
        <f>B13-G13</f>
        <v/>
      </c>
    </row>
    <row r="14" ht="16.25" customHeight="1" s="13">
      <c r="A14" s="11" t="inlineStr">
        <is>
          <t>Shish Barak</t>
        </is>
      </c>
      <c r="B14" s="12" t="n">
        <v>1165500</v>
      </c>
      <c r="C14" s="18" t="n">
        <v>1074000</v>
      </c>
      <c r="D14" s="18" t="n">
        <v>1790000</v>
      </c>
      <c r="E14" s="18" t="n">
        <v>1521500</v>
      </c>
      <c r="F14" s="18" t="n">
        <v>1700500</v>
      </c>
      <c r="G14" s="20">
        <f>AVERAGE(B14:F14)</f>
        <v/>
      </c>
      <c r="H14" s="20">
        <f>B14-G14</f>
        <v/>
      </c>
    </row>
    <row r="15" ht="16.25" customHeight="1" s="13">
      <c r="A15" s="11" t="inlineStr">
        <is>
          <t>Spaghetti Bolognese</t>
        </is>
      </c>
      <c r="B15" s="12" t="n">
        <v>1165500</v>
      </c>
      <c r="C15" s="18" t="n">
        <v>1253000</v>
      </c>
      <c r="D15" s="18" t="n">
        <v>1611000</v>
      </c>
      <c r="E15" s="19" t="inlineStr">
        <is>
          <t>-</t>
        </is>
      </c>
      <c r="F15" s="18" t="inlineStr">
        <is>
          <t>-</t>
        </is>
      </c>
      <c r="G15" s="20">
        <f>AVERAGE(B15:F15)</f>
        <v/>
      </c>
      <c r="H15" s="20">
        <f>B15-G15</f>
        <v/>
      </c>
    </row>
    <row r="16" ht="16.25" customHeight="1" s="13">
      <c r="A16" s="11" t="inlineStr">
        <is>
          <t>Vegetarian Grape Leaves</t>
        </is>
      </c>
      <c r="B16" s="12" t="n">
        <v>1165500</v>
      </c>
      <c r="C16" s="18" t="n">
        <v>1342500</v>
      </c>
      <c r="D16" s="18" t="inlineStr">
        <is>
          <t>-</t>
        </is>
      </c>
      <c r="E16" s="18" t="n">
        <v>1521500</v>
      </c>
      <c r="F16" s="18" t="inlineStr">
        <is>
          <t>-</t>
        </is>
      </c>
      <c r="G16" s="20">
        <f>AVERAGE(B16:F16)</f>
        <v/>
      </c>
      <c r="H16" s="20">
        <f>B16-G16</f>
        <v/>
      </c>
    </row>
    <row r="17" ht="16.25" customHeight="1" s="13">
      <c r="A17" s="21" t="inlineStr">
        <is>
          <t>NOUILLE</t>
        </is>
      </c>
      <c r="B17" s="12" t="n">
        <v>1050000</v>
      </c>
      <c r="C17" s="18" t="inlineStr">
        <is>
          <t>-</t>
        </is>
      </c>
      <c r="D17" s="18" t="n">
        <v>1790000</v>
      </c>
      <c r="E17" s="18" t="n">
        <v>1521500</v>
      </c>
      <c r="F17" s="18" t="n">
        <v>1700500</v>
      </c>
      <c r="G17" s="20">
        <f>AVERAGE(B17:F17)</f>
        <v/>
      </c>
      <c r="H17" s="20">
        <f>B17-G17</f>
        <v/>
      </c>
    </row>
    <row r="18" ht="16.25" customHeight="1" s="13">
      <c r="A18" s="21" t="inlineStr">
        <is>
          <t>MOUGHRABIEH</t>
        </is>
      </c>
      <c r="B18" s="12" t="n">
        <v>1165500</v>
      </c>
      <c r="C18" s="18" t="n">
        <v>1342500</v>
      </c>
      <c r="D18" s="18" t="n">
        <v>1790000</v>
      </c>
      <c r="E18" s="18" t="n">
        <v>1521500</v>
      </c>
      <c r="F18" s="18" t="n">
        <v>1924250</v>
      </c>
      <c r="G18" s="20">
        <f>AVERAGE(B18:F18)</f>
        <v/>
      </c>
      <c r="H18" s="20">
        <f>B18-G18</f>
        <v/>
      </c>
    </row>
    <row r="19" ht="16.25" customHeight="1" s="13">
      <c r="A19" s="21" t="inlineStr">
        <is>
          <t>KEBBEH BI SONIYE</t>
        </is>
      </c>
      <c r="B19" s="12" t="n">
        <v>1165500</v>
      </c>
      <c r="C19" s="18" t="n">
        <v>1253000</v>
      </c>
      <c r="D19" s="18" t="n">
        <v>1790000</v>
      </c>
      <c r="E19" s="18" t="n">
        <v>1521500</v>
      </c>
      <c r="F19" s="18" t="n">
        <v>1700500</v>
      </c>
      <c r="G19" s="20">
        <f>AVERAGE(B19:F19)</f>
        <v/>
      </c>
      <c r="H19" s="20">
        <f>B19-G19</f>
        <v/>
      </c>
    </row>
    <row r="20" ht="16.25" customHeight="1" s="13">
      <c r="A20" s="21" t="inlineStr">
        <is>
          <t>shakriyeh</t>
        </is>
      </c>
      <c r="B20" s="12" t="n">
        <v>1165500</v>
      </c>
      <c r="C20" s="18" t="n">
        <v>1342500</v>
      </c>
      <c r="D20" s="18" t="inlineStr">
        <is>
          <t>-</t>
        </is>
      </c>
      <c r="E20" s="18" t="n">
        <v>1521500</v>
      </c>
      <c r="F20" s="18" t="inlineStr">
        <is>
          <t>-</t>
        </is>
      </c>
      <c r="G20" s="20">
        <f>AVERAGE(B20:F20)</f>
        <v/>
      </c>
      <c r="H20" s="20">
        <f>B20-G20</f>
        <v/>
      </c>
    </row>
    <row r="23" ht="13.8" customHeight="1" s="13">
      <c r="G23" s="20" t="n"/>
      <c r="H23" s="20" t="n"/>
    </row>
    <row r="24" ht="13.8" customHeight="1" s="13">
      <c r="G24" s="20" t="n"/>
      <c r="H24" s="20" t="n"/>
    </row>
    <row r="25" ht="13.8" customHeight="1" s="13">
      <c r="G25" s="20" t="n"/>
      <c r="H25" s="20" t="n"/>
    </row>
    <row r="26" ht="13.8" customHeight="1" s="13">
      <c r="G26" s="20" t="n"/>
      <c r="H26" s="20" t="n"/>
    </row>
    <row r="27" ht="13.8" customHeight="1" s="13">
      <c r="G27" s="20" t="n"/>
      <c r="H27" s="20" t="n"/>
    </row>
    <row r="28" ht="13.8" customHeight="1" s="13">
      <c r="G28" s="20" t="n"/>
      <c r="H28" s="20" t="n"/>
    </row>
    <row r="29" ht="13.8" customHeight="1" s="13">
      <c r="G29" s="20" t="n"/>
      <c r="H29" s="20" t="n"/>
    </row>
  </sheetData>
  <mergeCells count="1">
    <mergeCell ref="A3:H3"/>
  </mergeCells>
  <conditionalFormatting sqref="H1 H3:H29">
    <cfRule type="cellIs" rank="0" priority="2" equalAverage="0" operator="lessThan" aboveAverage="0" dxfId="0" text="" percent="0" bottom="0">
      <formula>0</formula>
    </cfRule>
  </conditionalFormatting>
  <printOptions horizontalCentered="0" verticalCentered="0" headings="0" gridLines="0" gridLinesSet="1"/>
  <pageMargins left="0.7875" right="0.7875" top="1.05277777777778" bottom="1.05277777777778" header="0.7875" footer="0.7875"/>
  <pageSetup orientation="portrait" paperSize="9" scale="100" fitToHeight="1" fitToWidth="1" firstPageNumber="1" useFirstPageNumber="1" pageOrder="downThenOver" blackAndWhite="0" draft="0" horizontalDpi="300" verticalDpi="300" copies="1"/>
  <headerFooter differentOddEven="0" differentFirst="0">
    <oddHeader>&amp;C&amp;"Times New Roman,Regular"&amp;12 &amp;A</oddHeader>
    <oddFooter>&amp;C&amp;"Times New Roman,Regular"&amp;12 Page 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language>en-US</dc:language>
  <dcterms:created xsi:type="dcterms:W3CDTF">2026-07-22T06:24:43Z</dcterms:created>
  <dcterms:modified xsi:type="dcterms:W3CDTF">2026-07-30T21:32:56Z</dcterms:modified>
  <cp:revision>1</cp:revision>
</cp:coreProperties>
</file>