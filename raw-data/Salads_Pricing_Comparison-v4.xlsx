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Wooden Bakery 'Tuna Pasta' - $8.00 x 89,600 = 716,800 LBP. Source: user-provided pricing data, July 2026.</t>
        </r>
      </text>
    </comment>
    <comment ref="E8" authorId="0">
      <text>
        <r>
          <rPr>
            <sz val="10"/>
            <rFont val="Arial"/>
            <family val="2"/>
          </rPr>
          <t xml:space="preserve">Wooden Bakery 'Simply Caesar' (plain, no chicken) - $6.00 x 89,600 = 537,600 LBP. Source: user-provided pricing data, July 2026.</t>
        </r>
      </text>
    </comment>
    <comment ref="E9" authorId="0">
      <text>
        <r>
          <rPr>
            <sz val="10"/>
            <rFont val="Arial"/>
            <family val="2"/>
          </rPr>
          <t xml:space="preserve">Wooden Bakery 'Chicken Caesar Salad' - $9.00 x 89,600 = 806,400 LBP. Source: user-provided pricing data, July 2026.</t>
        </r>
      </text>
    </comment>
    <comment ref="E12" authorId="0">
      <text>
        <r>
          <rPr>
            <sz val="10"/>
            <rFont val="Arial"/>
            <family val="2"/>
          </rPr>
          <t xml:space="preserve">Wooden Bakery 'Pesto Chicken Twist' - $10.00 x 89,600 = 896,000 LBP. Approximate match: chicken-pesto pasta twist vs. Stories' plain pesto pasta salad - closest available comparable, flagged as a judgment call. Source: user-provided pricing data, July 2026.</t>
        </r>
      </text>
    </comment>
    <comment ref="E23" authorId="0">
      <text>
        <r>
          <rPr>
            <sz val="10"/>
            <rFont val="Arial"/>
            <family val="2"/>
          </rPr>
          <t xml:space="preserve">Wooden Bakery 'Crab Crunch' - $7.00 x 89,600 = 627,200 LBP. Source: user-provided pricing data, July 2026.</t>
        </r>
      </text>
    </comment>
    <comment ref="E28" authorId="0">
      <text>
        <r>
          <rPr>
            <sz val="10"/>
            <rFont val="Arial"/>
            <family val="2"/>
          </rPr>
          <t xml:space="preserve">Wooden Bakery 'Greek Orzo' - $7.50 x 89,600 = 672,000 LBP. Source: user-provided pricing data, July 2026.</t>
        </r>
      </text>
    </comment>
    <comment ref="E33" authorId="0">
      <text>
        <r>
          <rPr>
            <sz val="10"/>
            <rFont val="Arial"/>
            <family val="2"/>
          </rPr>
          <t xml:space="preserve">Wooden Bakery 'Kale Quinoa Chicken' - $10.00 x 89,600 = 896,000 LBP. Source: user-provided pricing data, July 2026.</t>
        </r>
      </text>
    </comment>
    <comment ref="E34" authorId="0">
      <text>
        <r>
          <rPr>
            <sz val="10"/>
            <rFont val="Arial"/>
            <family val="2"/>
          </rPr>
          <t xml:space="preserve">Wooden Bakery 'Kale Quinoa Halloumi' - $8.00 x 89,600 = 716,800 LBP. Source: user-provided pricing data, July 2026.</t>
        </r>
      </text>
    </comment>
    <comment ref="E43" authorId="0">
      <text>
        <r>
          <rPr>
            <sz val="10"/>
            <rFont val="Arial"/>
            <family val="2"/>
          </rPr>
          <t xml:space="preserve">Wooden Bakery 'The Protein Club' - $11.00 x 89,600 = 985,600 LBP. Source: user-provided pricing data, July 2026.</t>
        </r>
      </text>
    </comment>
  </commentList>
</comments>
</file>

<file path=xl/sharedStrings.xml><?xml version="1.0" encoding="utf-8"?>
<sst xmlns="http://schemas.openxmlformats.org/spreadsheetml/2006/main" count="141" uniqueCount="62">
  <si>
    <t xml:space="preserve">Products Competitors</t>
  </si>
  <si>
    <t xml:space="preserve">Stories</t>
  </si>
  <si>
    <t xml:space="preserve">Wooden Bakery</t>
  </si>
  <si>
    <t xml:space="preserve">Zaatar w Zeit</t>
  </si>
  <si>
    <t xml:space="preserve">Urban Fresh</t>
  </si>
  <si>
    <t xml:space="preserve">Pain D’or</t>
  </si>
  <si>
    <t xml:space="preserve">Average</t>
  </si>
  <si>
    <t xml:space="preserve">Difference</t>
  </si>
  <si>
    <t xml:space="preserve">SALADS</t>
  </si>
  <si>
    <t xml:space="preserve">SALAD BAR 1 VISIT</t>
  </si>
  <si>
    <t xml:space="preserve">-</t>
  </si>
  <si>
    <t xml:space="preserve">ASIAN SALAD (GRAB&amp;GO)</t>
  </si>
  <si>
    <t xml:space="preserve">380 g.</t>
  </si>
  <si>
    <t xml:space="preserve">GREEK SALAD (GRAB&amp;GO)</t>
  </si>
  <si>
    <t xml:space="preserve">400 g.</t>
  </si>
  <si>
    <t xml:space="preserve">500 g.</t>
  </si>
  <si>
    <t xml:space="preserve">QUINOA SALAD (GRAB&amp;GO)</t>
  </si>
  <si>
    <t xml:space="preserve">320 g.</t>
  </si>
  <si>
    <t xml:space="preserve">TUNA PASTA SALAD (GRAB&amp;GO)</t>
  </si>
  <si>
    <t xml:space="preserve">440 g.</t>
  </si>
  <si>
    <t xml:space="preserve">550 g.</t>
  </si>
  <si>
    <t xml:space="preserve">360 g.</t>
  </si>
  <si>
    <t xml:space="preserve">460 g.</t>
  </si>
  <si>
    <t xml:space="preserve">600 g.</t>
  </si>
  <si>
    <t xml:space="preserve">CAESAR SALAD (GRAB&amp;GO)</t>
  </si>
  <si>
    <t xml:space="preserve">235 g.</t>
  </si>
  <si>
    <t xml:space="preserve">CHICKEN CAESAR SALAD (GRAB&amp;GO)</t>
  </si>
  <si>
    <t xml:space="preserve">345 g.</t>
  </si>
  <si>
    <t xml:space="preserve">450 g.</t>
  </si>
  <si>
    <t xml:space="preserve">CHICKEN VERDE SALAD (GRAB&amp;GO)</t>
  </si>
  <si>
    <t xml:space="preserve">MEXICAN FIESTA SALAD (GRAB&amp;GO)</t>
  </si>
  <si>
    <t xml:space="preserve">PASTA PESTO SALAD (GRAB&amp;GO)</t>
  </si>
  <si>
    <t xml:space="preserve">445 g.</t>
  </si>
  <si>
    <t xml:space="preserve">580 g.</t>
  </si>
  <si>
    <t xml:space="preserve">COMPETITOR ITEMS NOT ON STORIES MENU (gap analysis - Stories left blank)</t>
  </si>
  <si>
    <t xml:space="preserve">urban salad</t>
  </si>
  <si>
    <t xml:space="preserve">BALSAMIC CHICKEN</t>
  </si>
  <si>
    <t xml:space="preserve">CHICKEN AVOCADO</t>
  </si>
  <si>
    <t xml:space="preserve">CHICKEN KALE</t>
  </si>
  <si>
    <t xml:space="preserve">CRAB CRUNCH</t>
  </si>
  <si>
    <t xml:space="preserve">352 g.</t>
  </si>
  <si>
    <t xml:space="preserve">CRAB SALAD</t>
  </si>
  <si>
    <t xml:space="preserve">GREEK ORZO</t>
  </si>
  <si>
    <t xml:space="preserve">408 g.</t>
  </si>
  <si>
    <t xml:space="preserve">HALLOUMI GARDEN</t>
  </si>
  <si>
    <t xml:space="preserve">KALE &amp; QUINOA FETA</t>
  </si>
  <si>
    <t xml:space="preserve">KALE QUINOA CHICKEN</t>
  </si>
  <si>
    <t xml:space="preserve">300 g.</t>
  </si>
  <si>
    <t xml:space="preserve">KALE QUINOA HALLOUMI</t>
  </si>
  <si>
    <t xml:space="preserve">276 g.</t>
  </si>
  <si>
    <t xml:space="preserve">LEBANESE ORIENTAL</t>
  </si>
  <si>
    <t xml:space="preserve">PASTA CHICKEN</t>
  </si>
  <si>
    <t xml:space="preserve">QUINOA HALLOUMI</t>
  </si>
  <si>
    <t xml:space="preserve">QUINOA TABBOULEH</t>
  </si>
  <si>
    <t xml:space="preserve">SHAWARMA FUSION</t>
  </si>
  <si>
    <t xml:space="preserve">THE PROTEIN CLUB</t>
  </si>
  <si>
    <t xml:space="preserve">430 g.</t>
  </si>
  <si>
    <t xml:space="preserve">Z FATTOUSH</t>
  </si>
  <si>
    <t xml:space="preserve">ZOOZA</t>
  </si>
  <si>
    <t xml:space="preserve">grilled veggie salad</t>
  </si>
  <si>
    <t xml:space="preserve">light slim line salad</t>
  </si>
  <si>
    <t xml:space="preserve">shrimp salad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</si>
</sst>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J27" activeCellId="0" sqref="J27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33.12"/>
    <col collapsed="false" customWidth="true" hidden="false" outlineLevel="0" max="2" min="2" style="1" width="6.78"/>
    <col collapsed="false" customWidth="true" hidden="false" outlineLevel="0" max="3" min="3" style="1" width="10.09"/>
    <col collapsed="false" customWidth="true" hidden="false" outlineLevel="0" max="4" min="4" style="1" width="6.78"/>
    <col collapsed="false" customWidth="true" hidden="false" outlineLevel="0" max="5" min="5" style="1" width="15.84"/>
    <col collapsed="false" customWidth="true" hidden="false" outlineLevel="0" max="6" min="6" style="1" width="6.78"/>
    <col collapsed="false" customWidth="true" hidden="false" outlineLevel="0" max="7" min="7" style="1" width="13.76"/>
    <col collapsed="false" customWidth="false" hidden="false" outlineLevel="0" max="8" min="8" style="1" width="10.16"/>
    <col collapsed="false" customWidth="true" hidden="false" outlineLevel="0" max="9" min="9" style="1" width="17.81"/>
    <col collapsed="false" customWidth="false" hidden="false" outlineLevel="0" max="10" min="10" style="1" width="10.16"/>
    <col collapsed="false" customWidth="true" hidden="false" outlineLevel="0" max="11" min="11" style="1" width="9.6"/>
    <col collapsed="false" customWidth="true" hidden="false" outlineLevel="0" max="13" min="12" style="1" width="14.74"/>
    <col collapsed="false" customWidth="true" hidden="false" outlineLevel="0" max="14" min="14" style="1" width="10.09"/>
    <col collapsed="false" customWidth="true" hidden="false" outlineLevel="0" max="15" min="15" style="1" width="11.19"/>
    <col collapsed="false" customWidth="true" hidden="false" outlineLevel="0" max="16" min="16" style="1" width="16.71"/>
    <col collapsed="false" customWidth="true" hidden="false" outlineLevel="0" max="17" min="17" style="1" width="19.28"/>
    <col collapsed="false" customWidth="true" hidden="false" outlineLevel="0" max="18" min="18" style="1" width="19.15"/>
    <col collapsed="false" customWidth="false" hidden="false" outlineLevel="0" max="16384" min="19" style="1" width="10.16"/>
  </cols>
  <sheetData>
    <row r="1" customFormat="false" ht="15" hidden="false" customHeight="true" outlineLevel="0" collapsed="false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 t="s">
        <v>5</v>
      </c>
      <c r="L1" s="2"/>
      <c r="M1" s="2"/>
      <c r="N1" s="2" t="s">
        <v>6</v>
      </c>
      <c r="O1" s="2" t="s">
        <v>7</v>
      </c>
      <c r="P1" s="3"/>
      <c r="Q1" s="3"/>
      <c r="R1" s="3"/>
    </row>
    <row r="2" customFormat="false" ht="22.5" hidden="false" customHeight="true" outlineLevel="0" collapsed="false">
      <c r="A2" s="4" t="s">
        <v>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"/>
      <c r="Q2" s="3"/>
      <c r="R2" s="3"/>
    </row>
    <row r="3" customFormat="false" ht="15" hidden="false" customHeight="true" outlineLevel="0" collapsed="false">
      <c r="A3" s="5" t="s">
        <v>9</v>
      </c>
      <c r="B3" s="5"/>
      <c r="C3" s="6" t="n">
        <v>1200000</v>
      </c>
      <c r="D3" s="5" t="s">
        <v>10</v>
      </c>
      <c r="E3" s="5" t="s">
        <v>10</v>
      </c>
      <c r="F3" s="5"/>
      <c r="G3" s="5" t="s">
        <v>10</v>
      </c>
      <c r="H3" s="5"/>
      <c r="I3" s="5"/>
      <c r="J3" s="5"/>
      <c r="K3" s="5"/>
      <c r="L3" s="5"/>
      <c r="M3" s="5"/>
      <c r="N3" s="6" t="n">
        <f aca="false">AVERAGE(C3:M3)</f>
        <v>1200000</v>
      </c>
      <c r="O3" s="6" t="n">
        <f aca="false">IF(ISNUMBER(C3),C3-N3,"-")</f>
        <v>0</v>
      </c>
      <c r="P3" s="3"/>
      <c r="R3" s="3"/>
    </row>
    <row r="4" customFormat="false" ht="15" hidden="false" customHeight="true" outlineLevel="0" collapsed="false">
      <c r="A4" s="5" t="s">
        <v>11</v>
      </c>
      <c r="B4" s="5" t="s">
        <v>12</v>
      </c>
      <c r="C4" s="6" t="n">
        <v>750000</v>
      </c>
      <c r="D4" s="5" t="s">
        <v>10</v>
      </c>
      <c r="E4" s="5" t="s">
        <v>10</v>
      </c>
      <c r="F4" s="5"/>
      <c r="G4" s="5" t="s">
        <v>10</v>
      </c>
      <c r="H4" s="5"/>
      <c r="I4" s="6"/>
      <c r="J4" s="5"/>
      <c r="K4" s="5"/>
      <c r="L4" s="5"/>
      <c r="M4" s="5"/>
      <c r="N4" s="6" t="n">
        <f aca="false">AVERAGE(C4:M4)</f>
        <v>750000</v>
      </c>
      <c r="O4" s="6" t="n">
        <f aca="false">IF(ISNUMBER(C4),C4-N4,"-")</f>
        <v>0</v>
      </c>
      <c r="P4" s="3"/>
    </row>
    <row r="5" customFormat="false" ht="15" hidden="false" customHeight="true" outlineLevel="0" collapsed="false">
      <c r="A5" s="5" t="s">
        <v>13</v>
      </c>
      <c r="B5" s="5"/>
      <c r="C5" s="6" t="n">
        <v>750000</v>
      </c>
      <c r="D5" s="5" t="s">
        <v>10</v>
      </c>
      <c r="E5" s="5" t="s">
        <v>10</v>
      </c>
      <c r="F5" s="5"/>
      <c r="G5" s="5" t="s">
        <v>10</v>
      </c>
      <c r="H5" s="5" t="s">
        <v>14</v>
      </c>
      <c r="I5" s="5" t="n">
        <v>805500</v>
      </c>
      <c r="J5" s="5" t="s">
        <v>15</v>
      </c>
      <c r="K5" s="5" t="n">
        <v>895000</v>
      </c>
      <c r="L5" s="5"/>
      <c r="M5" s="6"/>
      <c r="N5" s="6" t="n">
        <f aca="false">AVERAGE(C5:M5)</f>
        <v>816833.333333333</v>
      </c>
      <c r="O5" s="6" t="n">
        <f aca="false">IF(ISNUMBER(C5),C5-N5,"-")</f>
        <v>-66833.3333333334</v>
      </c>
      <c r="P5" s="3"/>
      <c r="R5" s="3"/>
    </row>
    <row r="6" customFormat="false" ht="15" hidden="false" customHeight="true" outlineLevel="0" collapsed="false">
      <c r="A6" s="5" t="s">
        <v>16</v>
      </c>
      <c r="B6" s="5" t="s">
        <v>17</v>
      </c>
      <c r="C6" s="6" t="n">
        <v>800000</v>
      </c>
      <c r="D6" s="5" t="s">
        <v>10</v>
      </c>
      <c r="E6" s="5" t="s">
        <v>10</v>
      </c>
      <c r="F6" s="5"/>
      <c r="G6" s="5" t="s">
        <v>10</v>
      </c>
      <c r="H6" s="5"/>
      <c r="I6" s="5"/>
      <c r="J6" s="5" t="s">
        <v>15</v>
      </c>
      <c r="K6" s="5" t="n">
        <v>1074000</v>
      </c>
      <c r="L6" s="5"/>
      <c r="M6" s="5"/>
      <c r="N6" s="6" t="n">
        <f aca="false">AVERAGE(C6:M6)</f>
        <v>937000</v>
      </c>
      <c r="O6" s="6" t="n">
        <f aca="false">IF(ISNUMBER(C6),C6-N6,"-")</f>
        <v>-137000</v>
      </c>
      <c r="P6" s="3"/>
      <c r="R6" s="3"/>
    </row>
    <row r="7" customFormat="false" ht="15" hidden="false" customHeight="true" outlineLevel="0" collapsed="false">
      <c r="A7" s="5" t="s">
        <v>18</v>
      </c>
      <c r="B7" s="5" t="s">
        <v>19</v>
      </c>
      <c r="C7" s="6" t="n">
        <v>850000</v>
      </c>
      <c r="D7" s="6" t="s">
        <v>20</v>
      </c>
      <c r="E7" s="6" t="n">
        <v>716800</v>
      </c>
      <c r="F7" s="6" t="s">
        <v>21</v>
      </c>
      <c r="G7" s="6" t="n">
        <v>1342500</v>
      </c>
      <c r="H7" s="6" t="s">
        <v>22</v>
      </c>
      <c r="I7" s="5" t="n">
        <v>895000</v>
      </c>
      <c r="J7" s="5" t="s">
        <v>23</v>
      </c>
      <c r="K7" s="5" t="n">
        <v>1074000</v>
      </c>
      <c r="L7" s="5"/>
      <c r="M7" s="6"/>
      <c r="N7" s="6" t="n">
        <f aca="false">AVERAGE(C7:M7)</f>
        <v>975660</v>
      </c>
      <c r="O7" s="6" t="n">
        <f aca="false">IF(ISNUMBER(C7),C7-N7,"-")</f>
        <v>-125660</v>
      </c>
    </row>
    <row r="8" customFormat="false" ht="15" hidden="false" customHeight="true" outlineLevel="0" collapsed="false">
      <c r="A8" s="5" t="s">
        <v>24</v>
      </c>
      <c r="B8" s="5"/>
      <c r="C8" s="6" t="n">
        <v>750000</v>
      </c>
      <c r="D8" s="6" t="s">
        <v>25</v>
      </c>
      <c r="E8" s="6" t="n">
        <v>537600</v>
      </c>
      <c r="F8" s="6" t="s">
        <v>21</v>
      </c>
      <c r="G8" s="6" t="n">
        <v>626500</v>
      </c>
      <c r="H8" s="6"/>
      <c r="I8" s="6"/>
      <c r="J8" s="6"/>
      <c r="K8" s="6"/>
      <c r="L8" s="6"/>
      <c r="M8" s="5"/>
      <c r="N8" s="6" t="n">
        <f aca="false">AVERAGE(C8:M8)</f>
        <v>638033.333333333</v>
      </c>
      <c r="O8" s="6" t="n">
        <f aca="false">IF(ISNUMBER(C8),C8-N8,"-")</f>
        <v>111966.666666667</v>
      </c>
    </row>
    <row r="9" customFormat="false" ht="15" hidden="false" customHeight="true" outlineLevel="0" collapsed="false">
      <c r="A9" s="5" t="s">
        <v>26</v>
      </c>
      <c r="B9" s="5" t="s">
        <v>21</v>
      </c>
      <c r="C9" s="7" t="n">
        <v>900000</v>
      </c>
      <c r="D9" s="7" t="s">
        <v>27</v>
      </c>
      <c r="E9" s="6" t="n">
        <v>806400</v>
      </c>
      <c r="F9" s="6" t="s">
        <v>21</v>
      </c>
      <c r="G9" s="6" t="n">
        <v>1074000</v>
      </c>
      <c r="H9" s="6" t="s">
        <v>12</v>
      </c>
      <c r="I9" s="5" t="n">
        <v>895000</v>
      </c>
      <c r="J9" s="5" t="s">
        <v>28</v>
      </c>
      <c r="K9" s="5" t="n">
        <v>1074000</v>
      </c>
      <c r="L9" s="5"/>
      <c r="M9" s="6"/>
      <c r="N9" s="6" t="n">
        <f aca="false">AVERAGE(C9:M9)</f>
        <v>949880</v>
      </c>
      <c r="O9" s="6" t="n">
        <f aca="false">IF(ISNUMBER(C9),C9-N9,"-")</f>
        <v>-49880</v>
      </c>
    </row>
    <row r="10" customFormat="false" ht="15" hidden="false" customHeight="true" outlineLevel="0" collapsed="false">
      <c r="A10" s="1" t="s">
        <v>29</v>
      </c>
      <c r="B10" s="1" t="s">
        <v>12</v>
      </c>
      <c r="C10" s="7" t="n">
        <v>850000</v>
      </c>
      <c r="D10" s="5" t="s">
        <v>10</v>
      </c>
      <c r="E10" s="5" t="s">
        <v>10</v>
      </c>
      <c r="G10" s="5" t="s">
        <v>10</v>
      </c>
      <c r="H10" s="5"/>
      <c r="I10" s="5"/>
      <c r="J10" s="5"/>
      <c r="K10" s="5"/>
      <c r="L10" s="5"/>
      <c r="M10" s="5"/>
      <c r="N10" s="6" t="n">
        <f aca="false">AVERAGE(C10:M10)</f>
        <v>850000</v>
      </c>
      <c r="O10" s="6" t="n">
        <f aca="false">IF(ISNUMBER(C10),C10-N10,"-")</f>
        <v>0</v>
      </c>
    </row>
    <row r="11" customFormat="false" ht="15" hidden="false" customHeight="true" outlineLevel="0" collapsed="false">
      <c r="A11" s="1" t="s">
        <v>30</v>
      </c>
      <c r="B11" s="1" t="s">
        <v>28</v>
      </c>
      <c r="C11" s="7" t="n">
        <v>900000</v>
      </c>
      <c r="D11" s="5" t="s">
        <v>10</v>
      </c>
      <c r="E11" s="5" t="s">
        <v>10</v>
      </c>
      <c r="F11" s="5"/>
      <c r="G11" s="5" t="s">
        <v>10</v>
      </c>
      <c r="H11" s="5"/>
      <c r="I11" s="6"/>
      <c r="J11" s="6"/>
      <c r="K11" s="6"/>
      <c r="L11" s="6"/>
      <c r="M11" s="5"/>
      <c r="N11" s="6" t="n">
        <f aca="false">AVERAGE(C11:M11)</f>
        <v>900000</v>
      </c>
      <c r="O11" s="6" t="n">
        <f aca="false">IF(ISNUMBER(C11),C11-N11,"-")</f>
        <v>0</v>
      </c>
    </row>
    <row r="12" customFormat="false" ht="15" hidden="false" customHeight="true" outlineLevel="0" collapsed="false">
      <c r="A12" s="1" t="s">
        <v>31</v>
      </c>
      <c r="B12" s="1" t="s">
        <v>32</v>
      </c>
      <c r="C12" s="7" t="n">
        <v>900000</v>
      </c>
      <c r="D12" s="7" t="s">
        <v>33</v>
      </c>
      <c r="E12" s="6" t="n">
        <v>896000</v>
      </c>
      <c r="F12" s="6"/>
      <c r="G12" s="5" t="s">
        <v>10</v>
      </c>
      <c r="H12" s="5"/>
      <c r="I12" s="5"/>
      <c r="J12" s="5"/>
      <c r="K12" s="5"/>
      <c r="L12" s="5"/>
      <c r="M12" s="5"/>
      <c r="N12" s="6" t="n">
        <f aca="false">AVERAGE(C12:M12)</f>
        <v>898000</v>
      </c>
      <c r="O12" s="6" t="n">
        <f aca="false">IF(ISNUMBER(C12),C12-N12,"-")</f>
        <v>2000</v>
      </c>
    </row>
    <row r="13" customFormat="false" ht="15" hidden="false" customHeight="true" outlineLevel="0" collapsed="false"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22.5" hidden="false" customHeight="true" outlineLevel="0" collapsed="false">
      <c r="A14" s="4" t="s">
        <v>34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customFormat="false" ht="15" hidden="false" customHeight="true" outlineLevel="0" collapsed="false"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5" hidden="false" customHeight="true" outlineLevel="0" collapsed="false">
      <c r="A16" s="1" t="s">
        <v>35</v>
      </c>
      <c r="E16" s="5"/>
      <c r="F16" s="5"/>
      <c r="G16" s="5"/>
      <c r="H16" s="5" t="s">
        <v>28</v>
      </c>
      <c r="I16" s="6" t="n">
        <v>984500</v>
      </c>
      <c r="J16" s="6"/>
      <c r="K16" s="6"/>
      <c r="L16" s="6"/>
      <c r="M16" s="5"/>
      <c r="N16" s="6"/>
      <c r="O16" s="6"/>
    </row>
    <row r="17" customFormat="false" ht="15" hidden="false" customHeight="true" outlineLevel="0" collapsed="false">
      <c r="E17" s="5"/>
      <c r="F17" s="5"/>
      <c r="G17" s="5"/>
      <c r="H17" s="5"/>
      <c r="I17" s="6"/>
      <c r="J17" s="6"/>
      <c r="K17" s="6"/>
      <c r="L17" s="6"/>
      <c r="M17" s="5"/>
      <c r="N17" s="6"/>
      <c r="O17" s="6"/>
    </row>
    <row r="18" customFormat="false" ht="15" hidden="false" customHeight="true" outlineLevel="0" collapsed="false">
      <c r="A18" s="1" t="s">
        <v>36</v>
      </c>
      <c r="C18" s="1" t="s">
        <v>10</v>
      </c>
      <c r="E18" s="5" t="s">
        <v>10</v>
      </c>
      <c r="F18" s="6" t="s">
        <v>21</v>
      </c>
      <c r="G18" s="6" t="n">
        <v>1253000</v>
      </c>
      <c r="H18" s="6"/>
      <c r="I18" s="5"/>
      <c r="J18" s="5"/>
      <c r="K18" s="5"/>
      <c r="L18" s="5"/>
      <c r="M18" s="5"/>
      <c r="N18" s="6" t="n">
        <f aca="false">AVERAGE(C18:M18)</f>
        <v>1253000</v>
      </c>
      <c r="O18" s="6" t="str">
        <f aca="false">IF(ISNUMBER(C18),C18-N18,"-")</f>
        <v>-</v>
      </c>
    </row>
    <row r="19" customFormat="false" ht="15" hidden="false" customHeight="true" outlineLevel="0" collapsed="false">
      <c r="C19" s="3"/>
      <c r="D19" s="3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</row>
    <row r="20" customFormat="false" ht="15" hidden="false" customHeight="true" outlineLevel="0" collapsed="false">
      <c r="A20" s="1" t="s">
        <v>37</v>
      </c>
      <c r="C20" s="3" t="s">
        <v>10</v>
      </c>
      <c r="D20" s="3"/>
      <c r="E20" s="5" t="s">
        <v>10</v>
      </c>
      <c r="F20" s="6" t="s">
        <v>21</v>
      </c>
      <c r="G20" s="6" t="n">
        <v>1253000</v>
      </c>
      <c r="H20" s="6"/>
      <c r="I20" s="5"/>
      <c r="J20" s="5"/>
      <c r="K20" s="5"/>
      <c r="L20" s="5"/>
      <c r="M20" s="5"/>
      <c r="N20" s="6" t="n">
        <f aca="false">AVERAGE(C20:M20)</f>
        <v>1253000</v>
      </c>
      <c r="O20" s="6" t="str">
        <f aca="false">IF(ISNUMBER(C20),C20-N20,"-")</f>
        <v>-</v>
      </c>
    </row>
    <row r="21" customFormat="false" ht="15" hidden="false" customHeight="true" outlineLevel="0" collapsed="false">
      <c r="A21" s="1" t="s">
        <v>38</v>
      </c>
      <c r="C21" s="1" t="s">
        <v>10</v>
      </c>
      <c r="E21" s="1" t="s">
        <v>10</v>
      </c>
      <c r="F21" s="6" t="s">
        <v>21</v>
      </c>
      <c r="G21" s="6" t="n">
        <v>1253000</v>
      </c>
      <c r="H21" s="7"/>
      <c r="N21" s="7" t="n">
        <f aca="false">AVERAGE(C21:M21)</f>
        <v>1253000</v>
      </c>
      <c r="O21" s="7" t="str">
        <f aca="false">IF(ISNUMBER(C21),C21-N21,"-")</f>
        <v>-</v>
      </c>
    </row>
    <row r="22" customFormat="false" ht="15" hidden="false" customHeight="true" outlineLevel="0" collapsed="false">
      <c r="A22" s="2"/>
      <c r="B22" s="2"/>
      <c r="M22" s="7"/>
      <c r="N22" s="7"/>
      <c r="O22" s="7"/>
    </row>
    <row r="23" customFormat="false" ht="15" hidden="false" customHeight="true" outlineLevel="0" collapsed="false">
      <c r="A23" s="1" t="s">
        <v>39</v>
      </c>
      <c r="C23" s="1" t="s">
        <v>10</v>
      </c>
      <c r="D23" s="1" t="s">
        <v>40</v>
      </c>
      <c r="E23" s="7" t="n">
        <v>627200</v>
      </c>
      <c r="F23" s="7"/>
      <c r="G23" s="1" t="s">
        <v>10</v>
      </c>
      <c r="N23" s="7" t="n">
        <f aca="false">AVERAGE(C23:M23)</f>
        <v>627200</v>
      </c>
      <c r="O23" s="7" t="str">
        <f aca="false">IF(ISNUMBER(C23),C23-N23,"-")</f>
        <v>-</v>
      </c>
    </row>
    <row r="24" customFormat="false" ht="15" hidden="false" customHeight="true" outlineLevel="0" collapsed="false">
      <c r="A24" s="5" t="s">
        <v>41</v>
      </c>
      <c r="B24" s="5"/>
      <c r="C24" s="5" t="s">
        <v>10</v>
      </c>
      <c r="D24" s="5"/>
      <c r="E24" s="5" t="s">
        <v>10</v>
      </c>
      <c r="F24" s="5"/>
      <c r="G24" s="5" t="s">
        <v>10</v>
      </c>
      <c r="H24" s="5"/>
      <c r="I24" s="5"/>
      <c r="J24" s="5" t="s">
        <v>23</v>
      </c>
      <c r="K24" s="5" t="n">
        <v>1074000</v>
      </c>
      <c r="L24" s="5"/>
      <c r="M24" s="6"/>
      <c r="N24" s="6" t="n">
        <f aca="false">AVERAGE(C24:M24)</f>
        <v>1074000</v>
      </c>
      <c r="O24" s="6" t="str">
        <f aca="false">IF(ISNUMBER(C24),C24-N24,"-")</f>
        <v>-</v>
      </c>
    </row>
    <row r="25" customFormat="false" ht="15" hidden="false" customHeight="true" outlineLevel="0" collapsed="false">
      <c r="I25" s="7"/>
      <c r="J25" s="7"/>
      <c r="K25" s="7"/>
      <c r="L25" s="7"/>
      <c r="N25" s="7"/>
      <c r="O25" s="7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N26" s="6"/>
      <c r="O26" s="6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6"/>
      <c r="J27" s="6"/>
      <c r="K27" s="6"/>
      <c r="L27" s="6"/>
      <c r="M27" s="5"/>
      <c r="N27" s="6"/>
      <c r="O27" s="6"/>
    </row>
    <row r="28" customFormat="false" ht="15" hidden="false" customHeight="true" outlineLevel="0" collapsed="false">
      <c r="A28" s="5" t="s">
        <v>42</v>
      </c>
      <c r="B28" s="5"/>
      <c r="C28" s="5" t="s">
        <v>10</v>
      </c>
      <c r="D28" s="5" t="s">
        <v>43</v>
      </c>
      <c r="E28" s="6" t="n">
        <v>672000</v>
      </c>
      <c r="F28" s="6"/>
      <c r="G28" s="5" t="s">
        <v>10</v>
      </c>
      <c r="H28" s="5"/>
      <c r="I28" s="5"/>
      <c r="J28" s="5"/>
      <c r="K28" s="5"/>
      <c r="L28" s="5"/>
      <c r="M28" s="5"/>
      <c r="N28" s="6" t="n">
        <f aca="false">AVERAGE(C28:M28)</f>
        <v>672000</v>
      </c>
      <c r="O28" s="6" t="str">
        <f aca="false">IF(ISNUMBER(C28),C28-N28,"-")</f>
        <v>-</v>
      </c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6"/>
      <c r="J30" s="6"/>
      <c r="K30" s="6"/>
      <c r="L30" s="6"/>
      <c r="M30" s="5"/>
      <c r="N30" s="6"/>
      <c r="O30" s="6"/>
    </row>
    <row r="31" customFormat="false" ht="15" hidden="false" customHeight="true" outlineLevel="0" collapsed="false">
      <c r="A31" s="5" t="s">
        <v>44</v>
      </c>
      <c r="B31" s="5"/>
      <c r="C31" s="5" t="s">
        <v>10</v>
      </c>
      <c r="D31" s="5"/>
      <c r="E31" s="5" t="s">
        <v>10</v>
      </c>
      <c r="F31" s="6" t="s">
        <v>21</v>
      </c>
      <c r="G31" s="6" t="n">
        <v>1163500</v>
      </c>
      <c r="H31" s="6"/>
      <c r="I31" s="5"/>
      <c r="J31" s="5"/>
      <c r="K31" s="5"/>
      <c r="L31" s="5"/>
      <c r="M31" s="5"/>
      <c r="N31" s="6" t="n">
        <f aca="false">AVERAGE(C31:M31)</f>
        <v>1163500</v>
      </c>
      <c r="O31" s="6" t="str">
        <f aca="false">IF(ISNUMBER(C31),C31-N31,"-")</f>
        <v>-</v>
      </c>
    </row>
    <row r="32" customFormat="false" ht="15" hidden="false" customHeight="true" outlineLevel="0" collapsed="false">
      <c r="A32" s="5" t="s">
        <v>45</v>
      </c>
      <c r="B32" s="5"/>
      <c r="C32" s="5" t="s">
        <v>10</v>
      </c>
      <c r="D32" s="5"/>
      <c r="E32" s="5" t="s">
        <v>10</v>
      </c>
      <c r="F32" s="6" t="s">
        <v>21</v>
      </c>
      <c r="G32" s="6" t="n">
        <v>984500</v>
      </c>
      <c r="H32" s="6"/>
      <c r="I32" s="5"/>
      <c r="J32" s="5"/>
      <c r="K32" s="5"/>
      <c r="L32" s="5"/>
      <c r="M32" s="5"/>
      <c r="N32" s="6" t="n">
        <f aca="false">AVERAGE(C32:M32)</f>
        <v>984500</v>
      </c>
      <c r="O32" s="6" t="str">
        <f aca="false">IF(ISNUMBER(C32),C32-N32,"-")</f>
        <v>-</v>
      </c>
    </row>
    <row r="33" customFormat="false" ht="15" hidden="false" customHeight="true" outlineLevel="0" collapsed="false">
      <c r="A33" s="5" t="s">
        <v>46</v>
      </c>
      <c r="B33" s="5"/>
      <c r="C33" s="5" t="s">
        <v>10</v>
      </c>
      <c r="D33" s="5" t="s">
        <v>47</v>
      </c>
      <c r="E33" s="6" t="n">
        <v>896000</v>
      </c>
      <c r="F33" s="6"/>
      <c r="G33" s="5" t="s">
        <v>10</v>
      </c>
      <c r="H33" s="5"/>
      <c r="I33" s="5"/>
      <c r="J33" s="5"/>
      <c r="K33" s="5"/>
      <c r="L33" s="5"/>
      <c r="M33" s="5"/>
      <c r="N33" s="6" t="n">
        <f aca="false">AVERAGE(C33:M33)</f>
        <v>896000</v>
      </c>
      <c r="O33" s="6" t="str">
        <f aca="false">IF(ISNUMBER(C33),C33-N33,"-")</f>
        <v>-</v>
      </c>
    </row>
    <row r="34" customFormat="false" ht="15" hidden="false" customHeight="true" outlineLevel="0" collapsed="false">
      <c r="A34" s="5" t="s">
        <v>48</v>
      </c>
      <c r="B34" s="5"/>
      <c r="C34" s="5" t="s">
        <v>10</v>
      </c>
      <c r="D34" s="5" t="s">
        <v>49</v>
      </c>
      <c r="E34" s="6" t="n">
        <v>716800</v>
      </c>
      <c r="F34" s="6"/>
      <c r="G34" s="5" t="s">
        <v>10</v>
      </c>
      <c r="H34" s="5"/>
      <c r="I34" s="5"/>
      <c r="J34" s="5"/>
      <c r="K34" s="5"/>
      <c r="L34" s="5"/>
      <c r="M34" s="5"/>
      <c r="N34" s="6" t="n">
        <f aca="false">AVERAGE(C34:M34)</f>
        <v>716800</v>
      </c>
      <c r="O34" s="6" t="str">
        <f aca="false">IF(ISNUMBER(C34),C34-N34,"-")</f>
        <v>-</v>
      </c>
    </row>
    <row r="35" customFormat="false" ht="15" hidden="false" customHeight="true" outlineLevel="0" collapsed="false">
      <c r="A35" s="5" t="s">
        <v>50</v>
      </c>
      <c r="B35" s="5"/>
      <c r="C35" s="5" t="s">
        <v>10</v>
      </c>
      <c r="D35" s="5"/>
      <c r="E35" s="5" t="s">
        <v>10</v>
      </c>
      <c r="F35" s="6" t="s">
        <v>21</v>
      </c>
      <c r="G35" s="6" t="n">
        <v>716000</v>
      </c>
      <c r="H35" s="6"/>
      <c r="I35" s="5"/>
      <c r="J35" s="5"/>
      <c r="K35" s="5"/>
      <c r="L35" s="5"/>
      <c r="M35" s="5"/>
      <c r="N35" s="6" t="n">
        <f aca="false">AVERAGE(C35:M35)</f>
        <v>716000</v>
      </c>
      <c r="O35" s="6" t="str">
        <f aca="false">IF(ISNUMBER(C35),C35-N35,"-")</f>
        <v>-</v>
      </c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6"/>
      <c r="J36" s="6"/>
      <c r="K36" s="6"/>
      <c r="L36" s="6"/>
      <c r="M36" s="5"/>
      <c r="N36" s="6"/>
      <c r="O36" s="6"/>
    </row>
    <row r="37" customFormat="false" ht="15" hidden="false" customHeight="true" outlineLevel="0" collapsed="false">
      <c r="A37" s="5" t="s">
        <v>51</v>
      </c>
      <c r="B37" s="5"/>
      <c r="C37" s="5" t="s">
        <v>10</v>
      </c>
      <c r="D37" s="5"/>
      <c r="E37" s="5" t="s">
        <v>10</v>
      </c>
      <c r="F37" s="6" t="s">
        <v>21</v>
      </c>
      <c r="G37" s="6" t="n">
        <v>1342500</v>
      </c>
      <c r="H37" s="6"/>
      <c r="I37" s="5"/>
      <c r="J37" s="5"/>
      <c r="K37" s="5"/>
      <c r="L37" s="5"/>
      <c r="M37" s="5"/>
      <c r="N37" s="6" t="n">
        <f aca="false">AVERAGE(C37:M37)</f>
        <v>1342500</v>
      </c>
      <c r="O37" s="6" t="str">
        <f aca="false">IF(ISNUMBER(C37),C37-N37,"-")</f>
        <v>-</v>
      </c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6"/>
      <c r="J38" s="6"/>
      <c r="K38" s="6"/>
      <c r="L38" s="6"/>
      <c r="M38" s="5"/>
      <c r="N38" s="6"/>
      <c r="O38" s="6"/>
    </row>
    <row r="39" customFormat="false" ht="15" hidden="false" customHeight="true" outlineLevel="0" collapsed="false">
      <c r="A39" s="5" t="s">
        <v>52</v>
      </c>
      <c r="B39" s="5"/>
      <c r="C39" s="5" t="s">
        <v>10</v>
      </c>
      <c r="D39" s="5"/>
      <c r="E39" s="5" t="s">
        <v>10</v>
      </c>
      <c r="F39" s="6" t="s">
        <v>21</v>
      </c>
      <c r="G39" s="6" t="n">
        <v>1163500</v>
      </c>
      <c r="H39" s="6"/>
      <c r="I39" s="5"/>
      <c r="J39" s="5"/>
      <c r="K39" s="5"/>
      <c r="L39" s="5"/>
      <c r="M39" s="5"/>
      <c r="N39" s="6" t="n">
        <f aca="false">AVERAGE(C39:M39)</f>
        <v>1163500</v>
      </c>
      <c r="O39" s="6" t="str">
        <f aca="false">IF(ISNUMBER(C39),C39-N39,"-")</f>
        <v>-</v>
      </c>
    </row>
    <row r="40" customFormat="false" ht="15" hidden="false" customHeight="true" outlineLevel="0" collapsed="false">
      <c r="A40" s="5" t="s">
        <v>53</v>
      </c>
      <c r="B40" s="5"/>
      <c r="C40" s="5" t="s">
        <v>10</v>
      </c>
      <c r="D40" s="5"/>
      <c r="E40" s="5" t="s">
        <v>10</v>
      </c>
      <c r="F40" s="6" t="s">
        <v>21</v>
      </c>
      <c r="G40" s="6" t="n">
        <v>716000</v>
      </c>
      <c r="H40" s="6"/>
      <c r="I40" s="5"/>
      <c r="J40" s="5"/>
      <c r="K40" s="5"/>
      <c r="L40" s="5"/>
      <c r="M40" s="5"/>
      <c r="N40" s="6" t="n">
        <f aca="false">AVERAGE(C40:M40)</f>
        <v>716000</v>
      </c>
      <c r="O40" s="6" t="str">
        <f aca="false">IF(ISNUMBER(C40),C40-N40,"-")</f>
        <v>-</v>
      </c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8"/>
      <c r="L41" s="8"/>
      <c r="M41" s="6"/>
      <c r="N41" s="6"/>
      <c r="O41" s="6"/>
    </row>
    <row r="42" customFormat="false" ht="15" hidden="false" customHeight="true" outlineLevel="0" collapsed="false">
      <c r="A42" s="5" t="s">
        <v>54</v>
      </c>
      <c r="B42" s="5"/>
      <c r="C42" s="5" t="s">
        <v>10</v>
      </c>
      <c r="D42" s="5"/>
      <c r="E42" s="5" t="s">
        <v>10</v>
      </c>
      <c r="F42" s="5" t="s">
        <v>21</v>
      </c>
      <c r="G42" s="6" t="n">
        <v>1163500</v>
      </c>
      <c r="H42" s="6"/>
      <c r="I42" s="5"/>
      <c r="J42" s="5"/>
      <c r="K42" s="5"/>
      <c r="L42" s="5"/>
      <c r="M42" s="5"/>
      <c r="N42" s="6" t="n">
        <f aca="false">AVERAGE(C42:M42)</f>
        <v>1163500</v>
      </c>
      <c r="O42" s="6" t="str">
        <f aca="false">IF(ISNUMBER(C42),C42-N42,"-")</f>
        <v>-</v>
      </c>
    </row>
    <row r="43" customFormat="false" ht="15" hidden="false" customHeight="true" outlineLevel="0" collapsed="false">
      <c r="A43" s="5" t="s">
        <v>55</v>
      </c>
      <c r="B43" s="5"/>
      <c r="C43" s="5" t="s">
        <v>10</v>
      </c>
      <c r="D43" s="5" t="s">
        <v>56</v>
      </c>
      <c r="E43" s="6" t="n">
        <v>985600</v>
      </c>
      <c r="F43" s="6"/>
      <c r="G43" s="5" t="s">
        <v>10</v>
      </c>
      <c r="H43" s="5"/>
      <c r="I43" s="5"/>
      <c r="J43" s="5"/>
      <c r="K43" s="5"/>
      <c r="L43" s="5"/>
      <c r="M43" s="5"/>
      <c r="N43" s="6" t="n">
        <f aca="false">AVERAGE(C43:M43)</f>
        <v>985600</v>
      </c>
      <c r="O43" s="6" t="str">
        <f aca="false">IF(ISNUMBER(C43),C43-N43,"-")</f>
        <v>-</v>
      </c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6"/>
      <c r="J44" s="6"/>
      <c r="K44" s="6"/>
      <c r="L44" s="6"/>
      <c r="M44" s="5"/>
      <c r="N44" s="6"/>
      <c r="O44" s="6"/>
    </row>
    <row r="45" customFormat="false" ht="15" hidden="false" customHeight="true" outlineLevel="0" collapsed="false">
      <c r="A45" s="5" t="s">
        <v>57</v>
      </c>
      <c r="B45" s="5"/>
      <c r="C45" s="5" t="s">
        <v>10</v>
      </c>
      <c r="D45" s="5"/>
      <c r="E45" s="5" t="s">
        <v>10</v>
      </c>
      <c r="F45" s="6" t="s">
        <v>21</v>
      </c>
      <c r="G45" s="6" t="n">
        <v>716000</v>
      </c>
      <c r="H45" s="6"/>
      <c r="I45" s="5"/>
      <c r="J45" s="5"/>
      <c r="K45" s="5"/>
      <c r="L45" s="5"/>
      <c r="M45" s="5"/>
      <c r="N45" s="6" t="n">
        <f aca="false">AVERAGE(C45:M45)</f>
        <v>716000</v>
      </c>
      <c r="O45" s="6" t="str">
        <f aca="false">IF(ISNUMBER(C45),C45-N45,"-")</f>
        <v>-</v>
      </c>
    </row>
    <row r="46" customFormat="false" ht="15" hidden="false" customHeight="true" outlineLevel="0" collapsed="false">
      <c r="A46" s="5" t="s">
        <v>58</v>
      </c>
      <c r="B46" s="5"/>
      <c r="C46" s="5" t="s">
        <v>10</v>
      </c>
      <c r="D46" s="5"/>
      <c r="E46" s="5" t="s">
        <v>10</v>
      </c>
      <c r="F46" s="6" t="s">
        <v>21</v>
      </c>
      <c r="G46" s="6" t="n">
        <v>1253000</v>
      </c>
      <c r="H46" s="6"/>
      <c r="I46" s="5"/>
      <c r="J46" s="5"/>
      <c r="K46" s="5"/>
      <c r="L46" s="5"/>
      <c r="M46" s="5"/>
      <c r="N46" s="6" t="n">
        <f aca="false">AVERAGE(C46:M46)</f>
        <v>1253000</v>
      </c>
      <c r="O46" s="6" t="str">
        <f aca="false">IF(ISNUMBER(C46),C46-N46,"-")</f>
        <v>-</v>
      </c>
    </row>
    <row r="47" customFormat="false" ht="15" hidden="false" customHeight="true" outlineLevel="0" collapsed="false">
      <c r="A47" s="5" t="s">
        <v>59</v>
      </c>
      <c r="B47" s="5"/>
      <c r="C47" s="5"/>
      <c r="D47" s="5"/>
      <c r="E47" s="5"/>
      <c r="F47" s="5"/>
      <c r="G47" s="5"/>
      <c r="H47" s="5"/>
      <c r="I47" s="5"/>
      <c r="J47" s="5" t="s">
        <v>20</v>
      </c>
      <c r="K47" s="5" t="n">
        <v>1074000</v>
      </c>
      <c r="L47" s="5"/>
      <c r="M47" s="5"/>
      <c r="N47" s="6" t="n">
        <f aca="false">AVERAGE(C47:M47)</f>
        <v>1074000</v>
      </c>
      <c r="O47" s="5"/>
    </row>
    <row r="48" customFormat="false" ht="15" hidden="false" customHeight="true" outlineLevel="0" collapsed="false">
      <c r="A48" s="5" t="s">
        <v>60</v>
      </c>
      <c r="B48" s="5"/>
      <c r="C48" s="5"/>
      <c r="D48" s="5"/>
      <c r="E48" s="5"/>
      <c r="F48" s="5"/>
      <c r="G48" s="5"/>
      <c r="H48" s="5"/>
      <c r="I48" s="5"/>
      <c r="J48" s="5" t="s">
        <v>28</v>
      </c>
      <c r="K48" s="5" t="n">
        <v>1074000</v>
      </c>
      <c r="L48" s="5"/>
      <c r="M48" s="5"/>
      <c r="N48" s="6" t="n">
        <f aca="false">AVERAGE(C48:M48)</f>
        <v>1074000</v>
      </c>
      <c r="O48" s="5"/>
    </row>
    <row r="49" customFormat="false" ht="15" hidden="false" customHeight="true" outlineLevel="0" collapsed="false">
      <c r="A49" s="5" t="s">
        <v>61</v>
      </c>
      <c r="B49" s="5"/>
      <c r="C49" s="5"/>
      <c r="D49" s="5"/>
      <c r="E49" s="5"/>
      <c r="F49" s="5"/>
      <c r="G49" s="5"/>
      <c r="H49" s="5" t="s">
        <v>15</v>
      </c>
      <c r="I49" s="5" t="n">
        <v>1074000</v>
      </c>
      <c r="J49" s="5"/>
      <c r="K49" s="5"/>
      <c r="L49" s="5"/>
      <c r="M49" s="5"/>
      <c r="N49" s="6" t="n">
        <f aca="false">AVERAGE(C49:M49)</f>
        <v>1074000</v>
      </c>
      <c r="O49" s="5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customFormat="false" ht="1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</sheetData>
  <mergeCells count="2">
    <mergeCell ref="A2:O2"/>
    <mergeCell ref="A14:O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2026-07-22T01:02:01Z</dcterms:created>
  <dc:creator>openpyxl</dc:creator>
  <dc:description/>
  <dc:language>en-US</dc:language>
  <cp:lastModifiedBy/>
  <dcterms:modified xsi:type="dcterms:W3CDTF">2026-07-30T23:24:09Z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